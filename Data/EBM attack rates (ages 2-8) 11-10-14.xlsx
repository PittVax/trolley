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305" yWindow="195" windowWidth="18060" windowHeight="11640" activeTab="2"/>
  </bookViews>
  <sheets>
    <sheet name="Sheet1" sheetId="1" r:id="rId1"/>
    <sheet name="Sheet2" sheetId="2" r:id="rId2"/>
    <sheet name="Calculations" sheetId="3" r:id="rId3"/>
  </sheets>
  <calcPr calcId="145621"/>
</workbook>
</file>

<file path=xl/calcChain.xml><?xml version="1.0" encoding="utf-8"?>
<calcChain xmlns="http://schemas.openxmlformats.org/spreadsheetml/2006/main">
  <c r="S12" i="3" l="1"/>
  <c r="R12" i="3"/>
  <c r="Q12" i="3"/>
  <c r="S11" i="3"/>
  <c r="R11" i="3"/>
  <c r="Q11" i="3"/>
  <c r="S10" i="3"/>
  <c r="R10" i="3"/>
  <c r="Q10" i="3"/>
  <c r="S9" i="3"/>
  <c r="R9" i="3"/>
  <c r="Q9" i="3"/>
  <c r="S8" i="3"/>
  <c r="R8" i="3"/>
  <c r="Q8" i="3"/>
  <c r="S7" i="3"/>
  <c r="R7" i="3"/>
  <c r="Q7" i="3"/>
  <c r="N12" i="3"/>
  <c r="N11" i="3"/>
  <c r="N10" i="3"/>
  <c r="N9" i="3"/>
  <c r="N8" i="3"/>
  <c r="N7" i="3"/>
  <c r="M12" i="3"/>
  <c r="M11" i="3"/>
  <c r="M10" i="3"/>
  <c r="M9" i="3"/>
  <c r="M8" i="3"/>
  <c r="M7" i="3"/>
  <c r="L8" i="3"/>
  <c r="L9" i="3"/>
  <c r="L10" i="3"/>
  <c r="L11" i="3"/>
  <c r="L12" i="3"/>
  <c r="L7" i="3"/>
  <c r="G264" i="2" l="1"/>
  <c r="H264" i="2"/>
  <c r="F264" i="2"/>
  <c r="G225" i="2"/>
  <c r="H225" i="2"/>
  <c r="F225" i="2"/>
  <c r="G223" i="2"/>
  <c r="G187" i="2"/>
  <c r="H187" i="2"/>
  <c r="F187" i="2"/>
  <c r="G186" i="2"/>
  <c r="G143" i="2"/>
  <c r="H143" i="2"/>
  <c r="F143" i="2"/>
  <c r="G99" i="2"/>
  <c r="H99" i="2"/>
  <c r="F99" i="2"/>
  <c r="G54" i="2"/>
  <c r="H54" i="2"/>
  <c r="F54" i="2"/>
  <c r="G270" i="1"/>
  <c r="H270" i="1"/>
  <c r="F270" i="1"/>
  <c r="G230" i="1"/>
  <c r="H230" i="1"/>
  <c r="F230" i="1"/>
  <c r="G228" i="1"/>
  <c r="G190" i="1"/>
  <c r="H190" i="1"/>
  <c r="F190" i="1"/>
  <c r="G186" i="1"/>
  <c r="G145" i="1"/>
  <c r="H145" i="1"/>
  <c r="F145" i="1"/>
  <c r="G142" i="1"/>
  <c r="G101" i="1"/>
  <c r="H101" i="1"/>
  <c r="F101" i="1"/>
  <c r="G56" i="1"/>
  <c r="H56" i="1"/>
  <c r="F56" i="1"/>
</calcChain>
</file>

<file path=xl/sharedStrings.xml><?xml version="1.0" encoding="utf-8"?>
<sst xmlns="http://schemas.openxmlformats.org/spreadsheetml/2006/main" count="58" uniqueCount="16">
  <si>
    <r>
      <t xml:space="preserve">    </t>
    </r>
    <r>
      <rPr>
        <u/>
        <sz val="12"/>
        <color theme="1"/>
        <rFont val="Cambria"/>
        <family val="1"/>
      </rPr>
      <t>With the use of LAIV (83% efficacy)</t>
    </r>
  </si>
  <si>
    <t>Days</t>
  </si>
  <si>
    <t>Inf Unvax</t>
  </si>
  <si>
    <t>Inf Vax</t>
  </si>
  <si>
    <t>Coverage</t>
  </si>
  <si>
    <t>With the use of TIV (64% efficacy)</t>
  </si>
  <si>
    <t>Aug</t>
  </si>
  <si>
    <t>Sep</t>
  </si>
  <si>
    <t>Oct</t>
  </si>
  <si>
    <t>Nov</t>
  </si>
  <si>
    <t>Dec</t>
  </si>
  <si>
    <t>Jan</t>
  </si>
  <si>
    <t>Feb</t>
  </si>
  <si>
    <t>Table values LAIV</t>
  </si>
  <si>
    <t>Index</t>
  </si>
  <si>
    <t>Table values 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</si>
</sst>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u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70"/>
  <sheetViews>
    <sheetView workbookViewId="0">
      <selection activeCell="A2" sqref="A2:XFD5"/>
    </sheetView>
  </sheetViews>
  <sheetFormatPr defaultRowHeight="15" x14ac:dyDescent="0.25"/>
  <sheetData>
    <row r="2" spans="1:4" ht="15.75" x14ac:dyDescent="0.25">
      <c r="A2" s="1" t="s">
        <v>0</v>
      </c>
    </row>
    <row r="5" spans="1:4" x14ac:dyDescent="0.25">
      <c r="A5" t="s">
        <v>1</v>
      </c>
      <c r="B5" t="s">
        <v>2</v>
      </c>
      <c r="C5" t="s">
        <v>3</v>
      </c>
      <c r="D5" t="s">
        <v>4</v>
      </c>
    </row>
    <row r="6" spans="1:4" x14ac:dyDescent="0.25">
      <c r="A6">
        <v>1</v>
      </c>
      <c r="B6">
        <v>0</v>
      </c>
      <c r="C6">
        <v>0</v>
      </c>
      <c r="D6">
        <v>0</v>
      </c>
    </row>
    <row r="7" spans="1:4" x14ac:dyDescent="0.25">
      <c r="A7">
        <v>1.1044</v>
      </c>
      <c r="B7">
        <v>0</v>
      </c>
      <c r="C7">
        <v>0</v>
      </c>
      <c r="D7">
        <v>5.9999999999999995E-4</v>
      </c>
    </row>
    <row r="8" spans="1:4" x14ac:dyDescent="0.25">
      <c r="A8">
        <v>1.2088000000000001</v>
      </c>
      <c r="B8">
        <v>0</v>
      </c>
      <c r="C8">
        <v>0</v>
      </c>
      <c r="D8">
        <v>1.2999999999999999E-3</v>
      </c>
    </row>
    <row r="9" spans="1:4" x14ac:dyDescent="0.25">
      <c r="A9">
        <v>1.3131999999999999</v>
      </c>
      <c r="B9">
        <v>0</v>
      </c>
      <c r="C9">
        <v>0</v>
      </c>
      <c r="D9">
        <v>1.9E-3</v>
      </c>
    </row>
    <row r="10" spans="1:4" x14ac:dyDescent="0.25">
      <c r="A10">
        <v>1.4176</v>
      </c>
      <c r="B10">
        <v>0</v>
      </c>
      <c r="C10">
        <v>0</v>
      </c>
      <c r="D10">
        <v>2.5000000000000001E-3</v>
      </c>
    </row>
    <row r="11" spans="1:4" x14ac:dyDescent="0.25">
      <c r="A11">
        <v>1.9177</v>
      </c>
      <c r="B11">
        <v>0</v>
      </c>
      <c r="C11">
        <v>0</v>
      </c>
      <c r="D11">
        <v>5.4999999999999997E-3</v>
      </c>
    </row>
    <row r="12" spans="1:4" x14ac:dyDescent="0.25">
      <c r="A12">
        <v>2.4178000000000002</v>
      </c>
      <c r="B12">
        <v>0</v>
      </c>
      <c r="C12">
        <v>0</v>
      </c>
      <c r="D12">
        <v>8.6E-3</v>
      </c>
    </row>
    <row r="13" spans="1:4" x14ac:dyDescent="0.25">
      <c r="A13">
        <v>2.9178999999999999</v>
      </c>
      <c r="B13">
        <v>0</v>
      </c>
      <c r="C13">
        <v>0</v>
      </c>
      <c r="D13">
        <v>1.1599999999999999E-2</v>
      </c>
    </row>
    <row r="14" spans="1:4" x14ac:dyDescent="0.25">
      <c r="A14">
        <v>3.4180000000000001</v>
      </c>
      <c r="B14">
        <v>0</v>
      </c>
      <c r="C14">
        <v>0</v>
      </c>
      <c r="D14">
        <v>1.4500000000000001E-2</v>
      </c>
    </row>
    <row r="15" spans="1:4" x14ac:dyDescent="0.25">
      <c r="A15">
        <v>3.907</v>
      </c>
      <c r="B15">
        <v>0</v>
      </c>
      <c r="C15">
        <v>0</v>
      </c>
      <c r="D15">
        <v>1.7500000000000002E-2</v>
      </c>
    </row>
    <row r="16" spans="1:4" x14ac:dyDescent="0.25">
      <c r="A16">
        <v>4.3959999999999999</v>
      </c>
      <c r="B16">
        <v>0</v>
      </c>
      <c r="C16">
        <v>0</v>
      </c>
      <c r="D16">
        <v>2.0400000000000001E-2</v>
      </c>
    </row>
    <row r="17" spans="1:4" x14ac:dyDescent="0.25">
      <c r="A17">
        <v>4.8849999999999998</v>
      </c>
      <c r="B17">
        <v>0</v>
      </c>
      <c r="C17">
        <v>0</v>
      </c>
      <c r="D17">
        <v>2.3300000000000001E-2</v>
      </c>
    </row>
    <row r="18" spans="1:4" x14ac:dyDescent="0.25">
      <c r="A18">
        <v>5.3739999999999997</v>
      </c>
      <c r="B18">
        <v>0</v>
      </c>
      <c r="C18">
        <v>0</v>
      </c>
      <c r="D18">
        <v>2.6100000000000002E-2</v>
      </c>
    </row>
    <row r="19" spans="1:4" x14ac:dyDescent="0.25">
      <c r="A19">
        <v>6.0568999999999997</v>
      </c>
      <c r="B19">
        <v>0</v>
      </c>
      <c r="C19">
        <v>0</v>
      </c>
      <c r="D19">
        <v>3.0200000000000001E-2</v>
      </c>
    </row>
    <row r="20" spans="1:4" x14ac:dyDescent="0.25">
      <c r="A20">
        <v>6.7397999999999998</v>
      </c>
      <c r="B20">
        <v>0</v>
      </c>
      <c r="C20">
        <v>0</v>
      </c>
      <c r="D20">
        <v>3.4200000000000001E-2</v>
      </c>
    </row>
    <row r="21" spans="1:4" x14ac:dyDescent="0.25">
      <c r="A21">
        <v>7.4226999999999999</v>
      </c>
      <c r="B21">
        <v>1E-4</v>
      </c>
      <c r="C21">
        <v>0</v>
      </c>
      <c r="D21">
        <v>3.8100000000000002E-2</v>
      </c>
    </row>
    <row r="22" spans="1:4" x14ac:dyDescent="0.25">
      <c r="A22">
        <v>8.1054999999999993</v>
      </c>
      <c r="B22">
        <v>1E-4</v>
      </c>
      <c r="C22">
        <v>0</v>
      </c>
      <c r="D22">
        <v>4.2099999999999999E-2</v>
      </c>
    </row>
    <row r="23" spans="1:4" x14ac:dyDescent="0.25">
      <c r="A23">
        <v>9.0145999999999997</v>
      </c>
      <c r="B23">
        <v>1E-4</v>
      </c>
      <c r="C23">
        <v>0</v>
      </c>
      <c r="D23">
        <v>4.7300000000000002E-2</v>
      </c>
    </row>
    <row r="24" spans="1:4" x14ac:dyDescent="0.25">
      <c r="A24">
        <v>9.9237000000000002</v>
      </c>
      <c r="B24">
        <v>1E-4</v>
      </c>
      <c r="C24">
        <v>0</v>
      </c>
      <c r="D24">
        <v>5.2600000000000001E-2</v>
      </c>
    </row>
    <row r="25" spans="1:4" x14ac:dyDescent="0.25">
      <c r="A25">
        <v>10.832700000000001</v>
      </c>
      <c r="B25">
        <v>1E-4</v>
      </c>
      <c r="C25">
        <v>0</v>
      </c>
      <c r="D25">
        <v>5.7799999999999997E-2</v>
      </c>
    </row>
    <row r="26" spans="1:4" x14ac:dyDescent="0.25">
      <c r="A26">
        <v>11.7418</v>
      </c>
      <c r="B26">
        <v>1E-4</v>
      </c>
      <c r="C26">
        <v>0</v>
      </c>
      <c r="D26">
        <v>6.2899999999999998E-2</v>
      </c>
    </row>
    <row r="27" spans="1:4" x14ac:dyDescent="0.25">
      <c r="A27">
        <v>12.433299999999999</v>
      </c>
      <c r="B27">
        <v>1E-4</v>
      </c>
      <c r="C27">
        <v>0</v>
      </c>
      <c r="D27">
        <v>6.6799999999999998E-2</v>
      </c>
    </row>
    <row r="28" spans="1:4" x14ac:dyDescent="0.25">
      <c r="A28">
        <v>13.1248</v>
      </c>
      <c r="B28">
        <v>1E-4</v>
      </c>
      <c r="C28">
        <v>0</v>
      </c>
      <c r="D28">
        <v>7.0699999999999999E-2</v>
      </c>
    </row>
    <row r="29" spans="1:4" x14ac:dyDescent="0.25">
      <c r="A29">
        <v>13.8163</v>
      </c>
      <c r="B29">
        <v>1E-4</v>
      </c>
      <c r="C29">
        <v>0</v>
      </c>
      <c r="D29">
        <v>7.46E-2</v>
      </c>
    </row>
    <row r="30" spans="1:4" x14ac:dyDescent="0.25">
      <c r="A30">
        <v>14.5078</v>
      </c>
      <c r="B30">
        <v>1E-4</v>
      </c>
      <c r="C30">
        <v>0</v>
      </c>
      <c r="D30">
        <v>7.8399999999999997E-2</v>
      </c>
    </row>
    <row r="31" spans="1:4" x14ac:dyDescent="0.25">
      <c r="A31">
        <v>15.199299999999999</v>
      </c>
      <c r="B31">
        <v>2.0000000000000001E-4</v>
      </c>
      <c r="C31">
        <v>0</v>
      </c>
      <c r="D31">
        <v>8.2299999999999998E-2</v>
      </c>
    </row>
    <row r="32" spans="1:4" x14ac:dyDescent="0.25">
      <c r="A32">
        <v>15.8908</v>
      </c>
      <c r="B32">
        <v>2.0000000000000001E-4</v>
      </c>
      <c r="C32">
        <v>0</v>
      </c>
      <c r="D32">
        <v>8.6099999999999996E-2</v>
      </c>
    </row>
    <row r="33" spans="1:15" x14ac:dyDescent="0.25">
      <c r="A33">
        <v>16.5823</v>
      </c>
      <c r="B33">
        <v>2.0000000000000001E-4</v>
      </c>
      <c r="C33">
        <v>0</v>
      </c>
      <c r="D33">
        <v>8.9899999999999994E-2</v>
      </c>
    </row>
    <row r="34" spans="1:15" x14ac:dyDescent="0.25">
      <c r="A34">
        <v>17.273800000000001</v>
      </c>
      <c r="B34">
        <v>2.0000000000000001E-4</v>
      </c>
      <c r="C34">
        <v>0</v>
      </c>
      <c r="D34">
        <v>9.3700000000000006E-2</v>
      </c>
    </row>
    <row r="35" spans="1:15" x14ac:dyDescent="0.25">
      <c r="A35">
        <v>18.043399999999998</v>
      </c>
      <c r="B35">
        <v>2.0000000000000001E-4</v>
      </c>
      <c r="C35">
        <v>0</v>
      </c>
      <c r="D35">
        <v>9.7900000000000001E-2</v>
      </c>
    </row>
    <row r="36" spans="1:15" x14ac:dyDescent="0.25">
      <c r="A36">
        <v>18.813099999999999</v>
      </c>
      <c r="B36">
        <v>2.0000000000000001E-4</v>
      </c>
      <c r="C36">
        <v>0</v>
      </c>
      <c r="D36">
        <v>0.10199999999999999</v>
      </c>
    </row>
    <row r="37" spans="1:15" x14ac:dyDescent="0.25">
      <c r="A37">
        <v>19.582699999999999</v>
      </c>
      <c r="B37">
        <v>2.9999999999999997E-4</v>
      </c>
      <c r="C37">
        <v>0</v>
      </c>
      <c r="D37">
        <v>0.1062</v>
      </c>
    </row>
    <row r="38" spans="1:15" x14ac:dyDescent="0.25">
      <c r="A38">
        <v>20.3523</v>
      </c>
      <c r="B38">
        <v>2.9999999999999997E-4</v>
      </c>
      <c r="C38">
        <v>0</v>
      </c>
      <c r="D38">
        <v>0.1103</v>
      </c>
    </row>
    <row r="39" spans="1:15" x14ac:dyDescent="0.25">
      <c r="A39">
        <v>21.151299999999999</v>
      </c>
      <c r="B39">
        <v>2.9999999999999997E-4</v>
      </c>
      <c r="C39">
        <v>0</v>
      </c>
      <c r="D39">
        <v>0.11459999999999999</v>
      </c>
    </row>
    <row r="40" spans="1:15" x14ac:dyDescent="0.25">
      <c r="A40">
        <v>21.950299999999999</v>
      </c>
      <c r="B40">
        <v>2.9999999999999997E-4</v>
      </c>
      <c r="C40">
        <v>0</v>
      </c>
      <c r="D40">
        <v>0.1188</v>
      </c>
    </row>
    <row r="41" spans="1:15" x14ac:dyDescent="0.25">
      <c r="A41">
        <v>22.749199999999998</v>
      </c>
      <c r="B41">
        <v>2.9999999999999997E-4</v>
      </c>
      <c r="C41">
        <v>0</v>
      </c>
      <c r="D41">
        <v>0.123</v>
      </c>
    </row>
    <row r="42" spans="1:15" x14ac:dyDescent="0.25">
      <c r="A42">
        <v>23.548200000000001</v>
      </c>
      <c r="B42">
        <v>4.0000000000000002E-4</v>
      </c>
      <c r="C42">
        <v>0</v>
      </c>
      <c r="D42">
        <v>0.12720000000000001</v>
      </c>
    </row>
    <row r="43" spans="1:15" x14ac:dyDescent="0.25">
      <c r="A43">
        <v>24.287500000000001</v>
      </c>
      <c r="B43">
        <v>4.0000000000000002E-4</v>
      </c>
      <c r="C43">
        <v>0</v>
      </c>
      <c r="D43">
        <v>0.13109999999999999</v>
      </c>
    </row>
    <row r="44" spans="1:15" x14ac:dyDescent="0.25">
      <c r="A44">
        <v>25.026800000000001</v>
      </c>
      <c r="B44">
        <v>4.0000000000000002E-4</v>
      </c>
      <c r="C44">
        <v>0</v>
      </c>
      <c r="D44">
        <v>0.13500000000000001</v>
      </c>
    </row>
    <row r="45" spans="1:15" x14ac:dyDescent="0.25">
      <c r="A45">
        <v>25.765999999999998</v>
      </c>
      <c r="B45">
        <v>5.0000000000000001E-4</v>
      </c>
      <c r="C45">
        <v>0</v>
      </c>
      <c r="D45">
        <v>0.13880000000000001</v>
      </c>
    </row>
    <row r="46" spans="1:15" x14ac:dyDescent="0.25">
      <c r="A46">
        <v>26.505299999999998</v>
      </c>
      <c r="B46">
        <v>5.0000000000000001E-4</v>
      </c>
      <c r="C46">
        <v>0</v>
      </c>
      <c r="D46">
        <v>0.1426</v>
      </c>
      <c r="L46" t="s">
        <v>6</v>
      </c>
      <c r="M46">
        <v>0</v>
      </c>
      <c r="N46">
        <v>0</v>
      </c>
      <c r="O46">
        <v>0</v>
      </c>
    </row>
    <row r="47" spans="1:15" x14ac:dyDescent="0.25">
      <c r="A47">
        <v>27.1736</v>
      </c>
      <c r="B47">
        <v>5.0000000000000001E-4</v>
      </c>
      <c r="C47">
        <v>0</v>
      </c>
      <c r="D47">
        <v>0.14599999999999999</v>
      </c>
      <c r="L47" t="s">
        <v>7</v>
      </c>
      <c r="M47">
        <v>6.9999999999999999E-4</v>
      </c>
      <c r="N47">
        <v>0</v>
      </c>
      <c r="O47">
        <v>0.16270000000000001</v>
      </c>
    </row>
    <row r="48" spans="1:15" x14ac:dyDescent="0.25">
      <c r="A48">
        <v>27.841899999999999</v>
      </c>
      <c r="B48">
        <v>5.9999999999999995E-4</v>
      </c>
      <c r="C48">
        <v>0</v>
      </c>
      <c r="D48">
        <v>0.14949999999999999</v>
      </c>
      <c r="L48" t="s">
        <v>8</v>
      </c>
      <c r="M48">
        <v>5.7000000000000002E-3</v>
      </c>
      <c r="N48">
        <v>4.0000000000000002E-4</v>
      </c>
      <c r="O48">
        <v>0.34079999999999999</v>
      </c>
    </row>
    <row r="49" spans="1:15" x14ac:dyDescent="0.25">
      <c r="A49">
        <v>28.510200000000001</v>
      </c>
      <c r="B49">
        <v>5.9999999999999995E-4</v>
      </c>
      <c r="C49">
        <v>0</v>
      </c>
      <c r="D49">
        <v>0.15290000000000001</v>
      </c>
      <c r="L49" t="s">
        <v>9</v>
      </c>
      <c r="M49">
        <v>2.47E-2</v>
      </c>
      <c r="N49">
        <v>3.2000000000000002E-3</v>
      </c>
      <c r="O49">
        <v>0.4637</v>
      </c>
    </row>
    <row r="50" spans="1:15" x14ac:dyDescent="0.25">
      <c r="A50">
        <v>29.1785</v>
      </c>
      <c r="B50">
        <v>5.9999999999999995E-4</v>
      </c>
      <c r="C50">
        <v>0</v>
      </c>
      <c r="D50">
        <v>0.15620000000000001</v>
      </c>
      <c r="L50" t="s">
        <v>10</v>
      </c>
      <c r="M50">
        <v>6.1400000000000003E-2</v>
      </c>
      <c r="N50">
        <v>1.15E-2</v>
      </c>
      <c r="O50">
        <v>0.52100000000000002</v>
      </c>
    </row>
    <row r="51" spans="1:15" x14ac:dyDescent="0.25">
      <c r="A51">
        <v>29.375800000000002</v>
      </c>
      <c r="B51">
        <v>5.9999999999999995E-4</v>
      </c>
      <c r="C51">
        <v>0</v>
      </c>
      <c r="D51">
        <v>0.15720000000000001</v>
      </c>
      <c r="L51" t="s">
        <v>11</v>
      </c>
      <c r="M51">
        <v>9.4100000000000003E-2</v>
      </c>
      <c r="N51">
        <v>2.2200000000000001E-2</v>
      </c>
      <c r="O51">
        <v>0.56330000000000002</v>
      </c>
    </row>
    <row r="52" spans="1:15" x14ac:dyDescent="0.25">
      <c r="A52">
        <v>29.5731</v>
      </c>
      <c r="B52">
        <v>5.9999999999999995E-4</v>
      </c>
      <c r="C52">
        <v>0</v>
      </c>
      <c r="D52">
        <v>0.15820000000000001</v>
      </c>
      <c r="L52" t="s">
        <v>12</v>
      </c>
      <c r="M52">
        <v>0.1079</v>
      </c>
      <c r="N52">
        <v>2.8199999999999999E-2</v>
      </c>
      <c r="O52">
        <v>0.58609999999999995</v>
      </c>
    </row>
    <row r="53" spans="1:15" x14ac:dyDescent="0.25">
      <c r="A53">
        <v>29.770299999999999</v>
      </c>
      <c r="B53">
        <v>6.9999999999999999E-4</v>
      </c>
      <c r="C53">
        <v>0</v>
      </c>
      <c r="D53">
        <v>0.15920000000000001</v>
      </c>
    </row>
    <row r="54" spans="1:15" x14ac:dyDescent="0.25">
      <c r="A54">
        <v>29.967600000000001</v>
      </c>
      <c r="B54">
        <v>6.9999999999999999E-4</v>
      </c>
      <c r="C54">
        <v>0</v>
      </c>
      <c r="D54">
        <v>0.16020000000000001</v>
      </c>
    </row>
    <row r="55" spans="1:15" x14ac:dyDescent="0.25">
      <c r="A55">
        <v>30.164899999999999</v>
      </c>
      <c r="B55">
        <v>6.9999999999999999E-4</v>
      </c>
      <c r="C55">
        <v>0</v>
      </c>
      <c r="D55">
        <v>0.16139999999999999</v>
      </c>
    </row>
    <row r="56" spans="1:15" x14ac:dyDescent="0.25">
      <c r="A56">
        <v>30.362100000000002</v>
      </c>
      <c r="B56">
        <v>6.9999999999999999E-4</v>
      </c>
      <c r="C56">
        <v>0</v>
      </c>
      <c r="D56">
        <v>0.16270000000000001</v>
      </c>
      <c r="F56">
        <f>B56</f>
        <v>6.9999999999999999E-4</v>
      </c>
      <c r="G56">
        <f t="shared" ref="G56:H56" si="0">C56</f>
        <v>0</v>
      </c>
      <c r="H56">
        <f t="shared" si="0"/>
        <v>0.16270000000000001</v>
      </c>
    </row>
    <row r="57" spans="1:15" x14ac:dyDescent="0.25">
      <c r="A57">
        <v>30.5594</v>
      </c>
      <c r="B57">
        <v>6.9999999999999999E-4</v>
      </c>
      <c r="C57">
        <v>0</v>
      </c>
      <c r="D57">
        <v>0.1641</v>
      </c>
    </row>
    <row r="58" spans="1:15" x14ac:dyDescent="0.25">
      <c r="A58">
        <v>30.756699999999999</v>
      </c>
      <c r="B58">
        <v>6.9999999999999999E-4</v>
      </c>
      <c r="C58">
        <v>0</v>
      </c>
      <c r="D58">
        <v>0.16539999999999999</v>
      </c>
    </row>
    <row r="59" spans="1:15" x14ac:dyDescent="0.25">
      <c r="A59">
        <v>30.932200000000002</v>
      </c>
      <c r="B59">
        <v>6.9999999999999999E-4</v>
      </c>
      <c r="C59">
        <v>0</v>
      </c>
      <c r="D59">
        <v>0.16650000000000001</v>
      </c>
    </row>
    <row r="60" spans="1:15" x14ac:dyDescent="0.25">
      <c r="A60">
        <v>31.107700000000001</v>
      </c>
      <c r="B60">
        <v>6.9999999999999999E-4</v>
      </c>
      <c r="C60">
        <v>0</v>
      </c>
      <c r="D60">
        <v>0.16769999999999999</v>
      </c>
    </row>
    <row r="61" spans="1:15" x14ac:dyDescent="0.25">
      <c r="A61">
        <v>31.283300000000001</v>
      </c>
      <c r="B61">
        <v>6.9999999999999999E-4</v>
      </c>
      <c r="C61">
        <v>0</v>
      </c>
      <c r="D61">
        <v>0.16880000000000001</v>
      </c>
    </row>
    <row r="62" spans="1:15" x14ac:dyDescent="0.25">
      <c r="A62">
        <v>31.4588</v>
      </c>
      <c r="B62">
        <v>6.9999999999999999E-4</v>
      </c>
      <c r="C62">
        <v>0</v>
      </c>
      <c r="D62">
        <v>0.17</v>
      </c>
    </row>
    <row r="63" spans="1:15" x14ac:dyDescent="0.25">
      <c r="A63">
        <v>32.336500000000001</v>
      </c>
      <c r="B63">
        <v>8.0000000000000004E-4</v>
      </c>
      <c r="C63">
        <v>0</v>
      </c>
      <c r="D63">
        <v>0.1757</v>
      </c>
    </row>
    <row r="64" spans="1:15" x14ac:dyDescent="0.25">
      <c r="A64">
        <v>33.214199999999998</v>
      </c>
      <c r="B64">
        <v>8.9999999999999998E-4</v>
      </c>
      <c r="C64">
        <v>0</v>
      </c>
      <c r="D64">
        <v>0.18149999999999999</v>
      </c>
    </row>
    <row r="65" spans="1:4" x14ac:dyDescent="0.25">
      <c r="A65">
        <v>34.091900000000003</v>
      </c>
      <c r="B65">
        <v>8.9999999999999998E-4</v>
      </c>
      <c r="C65">
        <v>0</v>
      </c>
      <c r="D65">
        <v>0.18709999999999999</v>
      </c>
    </row>
    <row r="66" spans="1:4" x14ac:dyDescent="0.25">
      <c r="A66">
        <v>34.969499999999996</v>
      </c>
      <c r="B66">
        <v>1E-3</v>
      </c>
      <c r="C66">
        <v>0</v>
      </c>
      <c r="D66">
        <v>0.1928</v>
      </c>
    </row>
    <row r="67" spans="1:4" x14ac:dyDescent="0.25">
      <c r="A67">
        <v>35.751600000000003</v>
      </c>
      <c r="B67">
        <v>1.1000000000000001E-3</v>
      </c>
      <c r="C67">
        <v>0</v>
      </c>
      <c r="D67">
        <v>0.1978</v>
      </c>
    </row>
    <row r="68" spans="1:4" x14ac:dyDescent="0.25">
      <c r="A68">
        <v>36.5336</v>
      </c>
      <c r="B68">
        <v>1.1000000000000001E-3</v>
      </c>
      <c r="C68">
        <v>0</v>
      </c>
      <c r="D68">
        <v>0.20269999999999999</v>
      </c>
    </row>
    <row r="69" spans="1:4" x14ac:dyDescent="0.25">
      <c r="A69">
        <v>37.315600000000003</v>
      </c>
      <c r="B69">
        <v>1.1999999999999999E-3</v>
      </c>
      <c r="C69">
        <v>0</v>
      </c>
      <c r="D69">
        <v>0.20760000000000001</v>
      </c>
    </row>
    <row r="70" spans="1:4" x14ac:dyDescent="0.25">
      <c r="A70">
        <v>38.0976</v>
      </c>
      <c r="B70">
        <v>1.2999999999999999E-3</v>
      </c>
      <c r="C70">
        <v>0</v>
      </c>
      <c r="D70">
        <v>0.21249999999999999</v>
      </c>
    </row>
    <row r="71" spans="1:4" x14ac:dyDescent="0.25">
      <c r="A71">
        <v>38.879600000000003</v>
      </c>
      <c r="B71">
        <v>1.2999999999999999E-3</v>
      </c>
      <c r="C71">
        <v>0</v>
      </c>
      <c r="D71">
        <v>0.21740000000000001</v>
      </c>
    </row>
    <row r="72" spans="1:4" x14ac:dyDescent="0.25">
      <c r="A72">
        <v>39.6616</v>
      </c>
      <c r="B72">
        <v>1.4E-3</v>
      </c>
      <c r="C72">
        <v>1E-4</v>
      </c>
      <c r="D72">
        <v>0.22220000000000001</v>
      </c>
    </row>
    <row r="73" spans="1:4" x14ac:dyDescent="0.25">
      <c r="A73">
        <v>40.4437</v>
      </c>
      <c r="B73">
        <v>1.5E-3</v>
      </c>
      <c r="C73">
        <v>1E-4</v>
      </c>
      <c r="D73">
        <v>0.22700000000000001</v>
      </c>
    </row>
    <row r="74" spans="1:4" x14ac:dyDescent="0.25">
      <c r="A74">
        <v>41.225700000000003</v>
      </c>
      <c r="B74">
        <v>1.6000000000000001E-3</v>
      </c>
      <c r="C74">
        <v>1E-4</v>
      </c>
      <c r="D74">
        <v>0.23169999999999999</v>
      </c>
    </row>
    <row r="75" spans="1:4" x14ac:dyDescent="0.25">
      <c r="A75">
        <v>41.979799999999997</v>
      </c>
      <c r="B75">
        <v>1.6999999999999999E-3</v>
      </c>
      <c r="C75">
        <v>1E-4</v>
      </c>
      <c r="D75">
        <v>0.23630000000000001</v>
      </c>
    </row>
    <row r="76" spans="1:4" x14ac:dyDescent="0.25">
      <c r="A76">
        <v>42.734000000000002</v>
      </c>
      <c r="B76">
        <v>1.8E-3</v>
      </c>
      <c r="C76">
        <v>1E-4</v>
      </c>
      <c r="D76">
        <v>0.24079999999999999</v>
      </c>
    </row>
    <row r="77" spans="1:4" x14ac:dyDescent="0.25">
      <c r="A77">
        <v>43.488199999999999</v>
      </c>
      <c r="B77">
        <v>1.9E-3</v>
      </c>
      <c r="C77">
        <v>1E-4</v>
      </c>
      <c r="D77">
        <v>0.24529999999999999</v>
      </c>
    </row>
    <row r="78" spans="1:4" x14ac:dyDescent="0.25">
      <c r="A78">
        <v>44.2423</v>
      </c>
      <c r="B78">
        <v>2E-3</v>
      </c>
      <c r="C78">
        <v>1E-4</v>
      </c>
      <c r="D78">
        <v>0.24979999999999999</v>
      </c>
    </row>
    <row r="79" spans="1:4" x14ac:dyDescent="0.25">
      <c r="A79">
        <v>44.941600000000001</v>
      </c>
      <c r="B79">
        <v>2.0999999999999999E-3</v>
      </c>
      <c r="C79">
        <v>1E-4</v>
      </c>
      <c r="D79">
        <v>0.25390000000000001</v>
      </c>
    </row>
    <row r="80" spans="1:4" x14ac:dyDescent="0.25">
      <c r="A80">
        <v>45.640999999999998</v>
      </c>
      <c r="B80">
        <v>2.2000000000000001E-3</v>
      </c>
      <c r="C80">
        <v>1E-4</v>
      </c>
      <c r="D80">
        <v>0.25800000000000001</v>
      </c>
    </row>
    <row r="81" spans="1:4" x14ac:dyDescent="0.25">
      <c r="A81">
        <v>46.340299999999999</v>
      </c>
      <c r="B81">
        <v>2.3E-3</v>
      </c>
      <c r="C81">
        <v>1E-4</v>
      </c>
      <c r="D81">
        <v>0.2621</v>
      </c>
    </row>
    <row r="82" spans="1:4" x14ac:dyDescent="0.25">
      <c r="A82">
        <v>47.0396</v>
      </c>
      <c r="B82">
        <v>2.3999999999999998E-3</v>
      </c>
      <c r="C82">
        <v>1E-4</v>
      </c>
      <c r="D82">
        <v>0.26619999999999999</v>
      </c>
    </row>
    <row r="83" spans="1:4" x14ac:dyDescent="0.25">
      <c r="A83">
        <v>47.722099999999998</v>
      </c>
      <c r="B83">
        <v>2.5000000000000001E-3</v>
      </c>
      <c r="C83">
        <v>1E-4</v>
      </c>
      <c r="D83">
        <v>0.27010000000000001</v>
      </c>
    </row>
    <row r="84" spans="1:4" x14ac:dyDescent="0.25">
      <c r="A84">
        <v>48.404600000000002</v>
      </c>
      <c r="B84">
        <v>2.5999999999999999E-3</v>
      </c>
      <c r="C84">
        <v>1E-4</v>
      </c>
      <c r="D84">
        <v>0.27400000000000002</v>
      </c>
    </row>
    <row r="85" spans="1:4" x14ac:dyDescent="0.25">
      <c r="A85">
        <v>49.0871</v>
      </c>
      <c r="B85">
        <v>2.7000000000000001E-3</v>
      </c>
      <c r="C85">
        <v>1E-4</v>
      </c>
      <c r="D85">
        <v>0.27789999999999998</v>
      </c>
    </row>
    <row r="86" spans="1:4" x14ac:dyDescent="0.25">
      <c r="A86">
        <v>49.769599999999997</v>
      </c>
      <c r="B86">
        <v>2.8999999999999998E-3</v>
      </c>
      <c r="C86">
        <v>1E-4</v>
      </c>
      <c r="D86">
        <v>0.28170000000000001</v>
      </c>
    </row>
    <row r="87" spans="1:4" x14ac:dyDescent="0.25">
      <c r="A87">
        <v>50.4863</v>
      </c>
      <c r="B87">
        <v>3.0000000000000001E-3</v>
      </c>
      <c r="C87">
        <v>2.0000000000000001E-4</v>
      </c>
      <c r="D87">
        <v>0.2858</v>
      </c>
    </row>
    <row r="88" spans="1:4" x14ac:dyDescent="0.25">
      <c r="A88">
        <v>51.203099999999999</v>
      </c>
      <c r="B88">
        <v>3.2000000000000002E-3</v>
      </c>
      <c r="C88">
        <v>2.0000000000000001E-4</v>
      </c>
      <c r="D88">
        <v>0.2898</v>
      </c>
    </row>
    <row r="89" spans="1:4" x14ac:dyDescent="0.25">
      <c r="A89">
        <v>51.919800000000002</v>
      </c>
      <c r="B89">
        <v>3.3E-3</v>
      </c>
      <c r="C89">
        <v>2.0000000000000001E-4</v>
      </c>
      <c r="D89">
        <v>0.29380000000000001</v>
      </c>
    </row>
    <row r="90" spans="1:4" x14ac:dyDescent="0.25">
      <c r="A90">
        <v>52.636499999999998</v>
      </c>
      <c r="B90">
        <v>3.5000000000000001E-3</v>
      </c>
      <c r="C90">
        <v>2.0000000000000001E-4</v>
      </c>
      <c r="D90">
        <v>0.29770000000000002</v>
      </c>
    </row>
    <row r="91" spans="1:4" x14ac:dyDescent="0.25">
      <c r="A91">
        <v>53.390799999999999</v>
      </c>
      <c r="B91">
        <v>3.5999999999999999E-3</v>
      </c>
      <c r="C91">
        <v>2.0000000000000001E-4</v>
      </c>
      <c r="D91">
        <v>0.30180000000000001</v>
      </c>
    </row>
    <row r="92" spans="1:4" x14ac:dyDescent="0.25">
      <c r="A92">
        <v>54.145000000000003</v>
      </c>
      <c r="B92">
        <v>3.8E-3</v>
      </c>
      <c r="C92">
        <v>2.0000000000000001E-4</v>
      </c>
      <c r="D92">
        <v>0.30599999999999999</v>
      </c>
    </row>
    <row r="93" spans="1:4" x14ac:dyDescent="0.25">
      <c r="A93">
        <v>54.899299999999997</v>
      </c>
      <c r="B93">
        <v>4.0000000000000001E-3</v>
      </c>
      <c r="C93">
        <v>2.0000000000000001E-4</v>
      </c>
      <c r="D93">
        <v>0.31</v>
      </c>
    </row>
    <row r="94" spans="1:4" x14ac:dyDescent="0.25">
      <c r="A94">
        <v>55.653500000000001</v>
      </c>
      <c r="B94">
        <v>4.1999999999999997E-3</v>
      </c>
      <c r="C94">
        <v>2.9999999999999997E-4</v>
      </c>
      <c r="D94">
        <v>0.31409999999999999</v>
      </c>
    </row>
    <row r="95" spans="1:4" x14ac:dyDescent="0.25">
      <c r="A95">
        <v>56.402000000000001</v>
      </c>
      <c r="B95">
        <v>4.4000000000000003E-3</v>
      </c>
      <c r="C95">
        <v>2.9999999999999997E-4</v>
      </c>
      <c r="D95">
        <v>0.31809999999999999</v>
      </c>
    </row>
    <row r="96" spans="1:4" x14ac:dyDescent="0.25">
      <c r="A96">
        <v>57.150399999999998</v>
      </c>
      <c r="B96">
        <v>4.5999999999999999E-3</v>
      </c>
      <c r="C96">
        <v>2.9999999999999997E-4</v>
      </c>
      <c r="D96">
        <v>0.3221</v>
      </c>
    </row>
    <row r="97" spans="1:8" x14ac:dyDescent="0.25">
      <c r="A97">
        <v>57.898800000000001</v>
      </c>
      <c r="B97">
        <v>4.7999999999999996E-3</v>
      </c>
      <c r="C97">
        <v>2.9999999999999997E-4</v>
      </c>
      <c r="D97">
        <v>0.32600000000000001</v>
      </c>
    </row>
    <row r="98" spans="1:8" x14ac:dyDescent="0.25">
      <c r="A98">
        <v>58.647199999999998</v>
      </c>
      <c r="B98">
        <v>5.0000000000000001E-3</v>
      </c>
      <c r="C98">
        <v>2.9999999999999997E-4</v>
      </c>
      <c r="D98">
        <v>0.32990000000000003</v>
      </c>
    </row>
    <row r="99" spans="1:8" x14ac:dyDescent="0.25">
      <c r="A99">
        <v>59.361400000000003</v>
      </c>
      <c r="B99">
        <v>5.1999999999999998E-3</v>
      </c>
      <c r="C99">
        <v>4.0000000000000002E-4</v>
      </c>
      <c r="D99">
        <v>0.3337</v>
      </c>
    </row>
    <row r="100" spans="1:8" x14ac:dyDescent="0.25">
      <c r="A100">
        <v>60.075600000000001</v>
      </c>
      <c r="B100">
        <v>5.4999999999999997E-3</v>
      </c>
      <c r="C100">
        <v>4.0000000000000002E-4</v>
      </c>
      <c r="D100">
        <v>0.33729999999999999</v>
      </c>
    </row>
    <row r="101" spans="1:8" x14ac:dyDescent="0.25">
      <c r="A101">
        <v>60.7898</v>
      </c>
      <c r="B101">
        <v>5.7000000000000002E-3</v>
      </c>
      <c r="C101">
        <v>4.0000000000000002E-4</v>
      </c>
      <c r="D101">
        <v>0.34079999999999999</v>
      </c>
      <c r="F101">
        <f>B101</f>
        <v>5.7000000000000002E-3</v>
      </c>
      <c r="G101">
        <f t="shared" ref="G101:H101" si="1">C101</f>
        <v>4.0000000000000002E-4</v>
      </c>
      <c r="H101">
        <f t="shared" si="1"/>
        <v>0.34079999999999999</v>
      </c>
    </row>
    <row r="102" spans="1:8" x14ac:dyDescent="0.25">
      <c r="A102">
        <v>61.503999999999998</v>
      </c>
      <c r="B102">
        <v>5.8999999999999999E-3</v>
      </c>
      <c r="C102">
        <v>4.0000000000000002E-4</v>
      </c>
      <c r="D102">
        <v>0.34410000000000002</v>
      </c>
    </row>
    <row r="103" spans="1:8" x14ac:dyDescent="0.25">
      <c r="A103">
        <v>62.1282</v>
      </c>
      <c r="B103">
        <v>6.1999999999999998E-3</v>
      </c>
      <c r="C103">
        <v>4.0000000000000002E-4</v>
      </c>
      <c r="D103">
        <v>0.34710000000000002</v>
      </c>
    </row>
    <row r="104" spans="1:8" x14ac:dyDescent="0.25">
      <c r="A104">
        <v>62.752400000000002</v>
      </c>
      <c r="B104">
        <v>6.4000000000000003E-3</v>
      </c>
      <c r="C104">
        <v>5.0000000000000001E-4</v>
      </c>
      <c r="D104">
        <v>0.35</v>
      </c>
    </row>
    <row r="105" spans="1:8" x14ac:dyDescent="0.25">
      <c r="A105">
        <v>63.3765</v>
      </c>
      <c r="B105">
        <v>6.6E-3</v>
      </c>
      <c r="C105">
        <v>5.0000000000000001E-4</v>
      </c>
      <c r="D105">
        <v>0.35289999999999999</v>
      </c>
    </row>
    <row r="106" spans="1:8" x14ac:dyDescent="0.25">
      <c r="A106">
        <v>64.000699999999995</v>
      </c>
      <c r="B106">
        <v>6.8999999999999999E-3</v>
      </c>
      <c r="C106">
        <v>5.0000000000000001E-4</v>
      </c>
      <c r="D106">
        <v>0.35580000000000001</v>
      </c>
    </row>
    <row r="107" spans="1:8" x14ac:dyDescent="0.25">
      <c r="A107">
        <v>64.717500000000001</v>
      </c>
      <c r="B107">
        <v>7.1000000000000004E-3</v>
      </c>
      <c r="C107">
        <v>5.0000000000000001E-4</v>
      </c>
      <c r="D107">
        <v>0.35909999999999997</v>
      </c>
    </row>
    <row r="108" spans="1:8" x14ac:dyDescent="0.25">
      <c r="A108">
        <v>65.434299999999993</v>
      </c>
      <c r="B108">
        <v>7.4000000000000003E-3</v>
      </c>
      <c r="C108">
        <v>5.9999999999999995E-4</v>
      </c>
      <c r="D108">
        <v>0.36230000000000001</v>
      </c>
    </row>
    <row r="109" spans="1:8" x14ac:dyDescent="0.25">
      <c r="A109">
        <v>66.150999999999996</v>
      </c>
      <c r="B109">
        <v>7.7000000000000002E-3</v>
      </c>
      <c r="C109">
        <v>5.9999999999999995E-4</v>
      </c>
      <c r="D109">
        <v>0.36559999999999998</v>
      </c>
    </row>
    <row r="110" spans="1:8" x14ac:dyDescent="0.25">
      <c r="A110">
        <v>66.867800000000003</v>
      </c>
      <c r="B110">
        <v>8.0000000000000002E-3</v>
      </c>
      <c r="C110">
        <v>5.9999999999999995E-4</v>
      </c>
      <c r="D110">
        <v>0.36880000000000002</v>
      </c>
    </row>
    <row r="111" spans="1:8" x14ac:dyDescent="0.25">
      <c r="A111">
        <v>67.644400000000005</v>
      </c>
      <c r="B111">
        <v>8.3999999999999995E-3</v>
      </c>
      <c r="C111">
        <v>6.9999999999999999E-4</v>
      </c>
      <c r="D111">
        <v>0.37230000000000002</v>
      </c>
    </row>
    <row r="112" spans="1:8" x14ac:dyDescent="0.25">
      <c r="A112">
        <v>68.420900000000003</v>
      </c>
      <c r="B112">
        <v>8.6999999999999994E-3</v>
      </c>
      <c r="C112">
        <v>6.9999999999999999E-4</v>
      </c>
      <c r="D112">
        <v>0.37569999999999998</v>
      </c>
    </row>
    <row r="113" spans="1:4" x14ac:dyDescent="0.25">
      <c r="A113">
        <v>69.197400000000002</v>
      </c>
      <c r="B113">
        <v>9.1000000000000004E-3</v>
      </c>
      <c r="C113">
        <v>8.0000000000000004E-4</v>
      </c>
      <c r="D113">
        <v>0.37909999999999999</v>
      </c>
    </row>
    <row r="114" spans="1:4" x14ac:dyDescent="0.25">
      <c r="A114">
        <v>69.974000000000004</v>
      </c>
      <c r="B114">
        <v>9.4999999999999998E-3</v>
      </c>
      <c r="C114">
        <v>8.0000000000000004E-4</v>
      </c>
      <c r="D114">
        <v>0.38250000000000001</v>
      </c>
    </row>
    <row r="115" spans="1:4" x14ac:dyDescent="0.25">
      <c r="A115">
        <v>70.719499999999996</v>
      </c>
      <c r="B115">
        <v>9.7999999999999997E-3</v>
      </c>
      <c r="C115">
        <v>8.9999999999999998E-4</v>
      </c>
      <c r="D115">
        <v>0.38569999999999999</v>
      </c>
    </row>
    <row r="116" spans="1:4" x14ac:dyDescent="0.25">
      <c r="A116">
        <v>71.465100000000007</v>
      </c>
      <c r="B116">
        <v>1.0200000000000001E-2</v>
      </c>
      <c r="C116">
        <v>8.9999999999999998E-4</v>
      </c>
      <c r="D116">
        <v>0.38900000000000001</v>
      </c>
    </row>
    <row r="117" spans="1:4" x14ac:dyDescent="0.25">
      <c r="A117">
        <v>72.210599999999999</v>
      </c>
      <c r="B117">
        <v>1.06E-2</v>
      </c>
      <c r="C117">
        <v>1E-3</v>
      </c>
      <c r="D117">
        <v>0.3921</v>
      </c>
    </row>
    <row r="118" spans="1:4" x14ac:dyDescent="0.25">
      <c r="A118">
        <v>72.956100000000006</v>
      </c>
      <c r="B118">
        <v>1.0999999999999999E-2</v>
      </c>
      <c r="C118">
        <v>1E-3</v>
      </c>
      <c r="D118">
        <v>0.39529999999999998</v>
      </c>
    </row>
    <row r="119" spans="1:4" x14ac:dyDescent="0.25">
      <c r="A119">
        <v>73.649500000000003</v>
      </c>
      <c r="B119">
        <v>1.14E-2</v>
      </c>
      <c r="C119">
        <v>1.1000000000000001E-3</v>
      </c>
      <c r="D119">
        <v>0.3982</v>
      </c>
    </row>
    <row r="120" spans="1:4" x14ac:dyDescent="0.25">
      <c r="A120">
        <v>74.3429</v>
      </c>
      <c r="B120">
        <v>1.18E-2</v>
      </c>
      <c r="C120">
        <v>1.1000000000000001E-3</v>
      </c>
      <c r="D120">
        <v>0.40110000000000001</v>
      </c>
    </row>
    <row r="121" spans="1:4" x14ac:dyDescent="0.25">
      <c r="A121">
        <v>75.036199999999994</v>
      </c>
      <c r="B121">
        <v>1.2200000000000001E-2</v>
      </c>
      <c r="C121">
        <v>1.1999999999999999E-3</v>
      </c>
      <c r="D121">
        <v>0.40400000000000003</v>
      </c>
    </row>
    <row r="122" spans="1:4" x14ac:dyDescent="0.25">
      <c r="A122">
        <v>75.729600000000005</v>
      </c>
      <c r="B122">
        <v>1.26E-2</v>
      </c>
      <c r="C122">
        <v>1.1999999999999999E-3</v>
      </c>
      <c r="D122">
        <v>0.40689999999999998</v>
      </c>
    </row>
    <row r="123" spans="1:4" x14ac:dyDescent="0.25">
      <c r="A123">
        <v>76.410499999999999</v>
      </c>
      <c r="B123">
        <v>1.3100000000000001E-2</v>
      </c>
      <c r="C123">
        <v>1.2999999999999999E-3</v>
      </c>
      <c r="D123">
        <v>0.40970000000000001</v>
      </c>
    </row>
    <row r="124" spans="1:4" x14ac:dyDescent="0.25">
      <c r="A124">
        <v>77.091399999999993</v>
      </c>
      <c r="B124">
        <v>1.35E-2</v>
      </c>
      <c r="C124">
        <v>1.4E-3</v>
      </c>
      <c r="D124">
        <v>0.41249999999999998</v>
      </c>
    </row>
    <row r="125" spans="1:4" x14ac:dyDescent="0.25">
      <c r="A125">
        <v>77.772199999999998</v>
      </c>
      <c r="B125">
        <v>1.3899999999999999E-2</v>
      </c>
      <c r="C125">
        <v>1.4E-3</v>
      </c>
      <c r="D125">
        <v>0.41520000000000001</v>
      </c>
    </row>
    <row r="126" spans="1:4" x14ac:dyDescent="0.25">
      <c r="A126">
        <v>78.453100000000006</v>
      </c>
      <c r="B126">
        <v>1.44E-2</v>
      </c>
      <c r="C126">
        <v>1.5E-3</v>
      </c>
      <c r="D126">
        <v>0.41789999999999999</v>
      </c>
    </row>
    <row r="127" spans="1:4" x14ac:dyDescent="0.25">
      <c r="A127">
        <v>79.154899999999998</v>
      </c>
      <c r="B127">
        <v>1.49E-2</v>
      </c>
      <c r="C127">
        <v>1.6000000000000001E-3</v>
      </c>
      <c r="D127">
        <v>0.42070000000000002</v>
      </c>
    </row>
    <row r="128" spans="1:4" x14ac:dyDescent="0.25">
      <c r="A128">
        <v>79.856700000000004</v>
      </c>
      <c r="B128">
        <v>1.54E-2</v>
      </c>
      <c r="C128">
        <v>1.6000000000000001E-3</v>
      </c>
      <c r="D128">
        <v>0.42349999999999999</v>
      </c>
    </row>
    <row r="129" spans="1:7" x14ac:dyDescent="0.25">
      <c r="A129">
        <v>80.558599999999998</v>
      </c>
      <c r="B129">
        <v>1.5900000000000001E-2</v>
      </c>
      <c r="C129">
        <v>1.6999999999999999E-3</v>
      </c>
      <c r="D129">
        <v>0.42630000000000001</v>
      </c>
    </row>
    <row r="130" spans="1:7" x14ac:dyDescent="0.25">
      <c r="A130">
        <v>81.260400000000004</v>
      </c>
      <c r="B130">
        <v>1.6400000000000001E-2</v>
      </c>
      <c r="C130">
        <v>1.8E-3</v>
      </c>
      <c r="D130">
        <v>0.42899999999999999</v>
      </c>
    </row>
    <row r="131" spans="1:7" x14ac:dyDescent="0.25">
      <c r="A131">
        <v>81.974500000000006</v>
      </c>
      <c r="B131">
        <v>1.6899999999999998E-2</v>
      </c>
      <c r="C131">
        <v>1.9E-3</v>
      </c>
      <c r="D131">
        <v>0.43180000000000002</v>
      </c>
    </row>
    <row r="132" spans="1:7" x14ac:dyDescent="0.25">
      <c r="A132">
        <v>82.688699999999997</v>
      </c>
      <c r="B132">
        <v>1.7399999999999999E-2</v>
      </c>
      <c r="C132">
        <v>2E-3</v>
      </c>
      <c r="D132">
        <v>0.4345</v>
      </c>
    </row>
    <row r="133" spans="1:7" x14ac:dyDescent="0.25">
      <c r="A133">
        <v>83.402799999999999</v>
      </c>
      <c r="B133">
        <v>1.7999999999999999E-2</v>
      </c>
      <c r="C133">
        <v>2E-3</v>
      </c>
      <c r="D133">
        <v>0.43730000000000002</v>
      </c>
    </row>
    <row r="134" spans="1:7" x14ac:dyDescent="0.25">
      <c r="A134">
        <v>84.117000000000004</v>
      </c>
      <c r="B134">
        <v>1.8599999999999998E-2</v>
      </c>
      <c r="C134">
        <v>2.0999999999999999E-3</v>
      </c>
      <c r="D134">
        <v>0.44</v>
      </c>
    </row>
    <row r="135" spans="1:7" x14ac:dyDescent="0.25">
      <c r="A135">
        <v>84.822800000000001</v>
      </c>
      <c r="B135">
        <v>1.9099999999999999E-2</v>
      </c>
      <c r="C135">
        <v>2.2000000000000001E-3</v>
      </c>
      <c r="D135">
        <v>0.44259999999999999</v>
      </c>
    </row>
    <row r="136" spans="1:7" x14ac:dyDescent="0.25">
      <c r="A136">
        <v>85.528599999999997</v>
      </c>
      <c r="B136">
        <v>1.9699999999999999E-2</v>
      </c>
      <c r="C136">
        <v>2.3E-3</v>
      </c>
      <c r="D136">
        <v>0.44529999999999997</v>
      </c>
    </row>
    <row r="137" spans="1:7" x14ac:dyDescent="0.25">
      <c r="A137">
        <v>86.234300000000005</v>
      </c>
      <c r="B137">
        <v>2.0299999999999999E-2</v>
      </c>
      <c r="C137">
        <v>2.3999999999999998E-3</v>
      </c>
      <c r="D137">
        <v>0.44790000000000002</v>
      </c>
    </row>
    <row r="138" spans="1:7" x14ac:dyDescent="0.25">
      <c r="A138">
        <v>86.940100000000001</v>
      </c>
      <c r="B138">
        <v>2.0899999999999998E-2</v>
      </c>
      <c r="C138">
        <v>2.5000000000000001E-3</v>
      </c>
      <c r="D138">
        <v>0.45050000000000001</v>
      </c>
    </row>
    <row r="139" spans="1:7" x14ac:dyDescent="0.25">
      <c r="A139">
        <v>87.634299999999996</v>
      </c>
      <c r="B139">
        <v>2.1499999999999998E-2</v>
      </c>
      <c r="C139">
        <v>2.5999999999999999E-3</v>
      </c>
      <c r="D139">
        <v>0.45300000000000001</v>
      </c>
    </row>
    <row r="140" spans="1:7" x14ac:dyDescent="0.25">
      <c r="A140">
        <v>88.328500000000005</v>
      </c>
      <c r="B140">
        <v>2.2100000000000002E-2</v>
      </c>
      <c r="C140">
        <v>2.7000000000000001E-3</v>
      </c>
      <c r="D140">
        <v>0.45550000000000002</v>
      </c>
    </row>
    <row r="141" spans="1:7" x14ac:dyDescent="0.25">
      <c r="A141">
        <v>89.0227</v>
      </c>
      <c r="B141">
        <v>2.2800000000000001E-2</v>
      </c>
      <c r="C141">
        <v>2.8999999999999998E-3</v>
      </c>
      <c r="D141">
        <v>0.45800000000000002</v>
      </c>
    </row>
    <row r="142" spans="1:7" x14ac:dyDescent="0.25">
      <c r="A142">
        <v>89.716899999999995</v>
      </c>
      <c r="B142">
        <v>2.3400000000000001E-2</v>
      </c>
      <c r="C142">
        <v>3.0000000000000001E-3</v>
      </c>
      <c r="D142">
        <v>0.46050000000000002</v>
      </c>
      <c r="G142">
        <f>3*365/12</f>
        <v>91.25</v>
      </c>
    </row>
    <row r="143" spans="1:7" x14ac:dyDescent="0.25">
      <c r="A143">
        <v>90.170400000000001</v>
      </c>
      <c r="B143">
        <v>2.3800000000000002E-2</v>
      </c>
      <c r="C143">
        <v>3.0000000000000001E-3</v>
      </c>
      <c r="D143">
        <v>0.46179999999999999</v>
      </c>
    </row>
    <row r="144" spans="1:7" x14ac:dyDescent="0.25">
      <c r="A144">
        <v>90.623900000000006</v>
      </c>
      <c r="B144">
        <v>2.4199999999999999E-2</v>
      </c>
      <c r="C144">
        <v>3.0999999999999999E-3</v>
      </c>
      <c r="D144">
        <v>0.4627</v>
      </c>
    </row>
    <row r="145" spans="1:8" x14ac:dyDescent="0.25">
      <c r="A145">
        <v>91.077399999999997</v>
      </c>
      <c r="B145">
        <v>2.47E-2</v>
      </c>
      <c r="C145">
        <v>3.2000000000000002E-3</v>
      </c>
      <c r="D145">
        <v>0.4637</v>
      </c>
      <c r="F145">
        <f>B145</f>
        <v>2.47E-2</v>
      </c>
      <c r="G145">
        <f t="shared" ref="G145:H145" si="2">C145</f>
        <v>3.2000000000000002E-3</v>
      </c>
      <c r="H145">
        <f t="shared" si="2"/>
        <v>0.4637</v>
      </c>
    </row>
    <row r="146" spans="1:8" x14ac:dyDescent="0.25">
      <c r="A146">
        <v>91.530900000000003</v>
      </c>
      <c r="B146">
        <v>2.5100000000000001E-2</v>
      </c>
      <c r="C146">
        <v>3.3E-3</v>
      </c>
      <c r="D146">
        <v>0.4647</v>
      </c>
    </row>
    <row r="147" spans="1:8" x14ac:dyDescent="0.25">
      <c r="A147">
        <v>91.984399999999994</v>
      </c>
      <c r="B147">
        <v>2.5499999999999998E-2</v>
      </c>
      <c r="C147">
        <v>3.3999999999999998E-3</v>
      </c>
      <c r="D147">
        <v>0.46560000000000001</v>
      </c>
    </row>
    <row r="148" spans="1:8" x14ac:dyDescent="0.25">
      <c r="A148">
        <v>92.437899999999999</v>
      </c>
      <c r="B148">
        <v>2.5999999999999999E-2</v>
      </c>
      <c r="C148">
        <v>3.5000000000000001E-3</v>
      </c>
      <c r="D148">
        <v>0.46660000000000001</v>
      </c>
    </row>
    <row r="149" spans="1:8" x14ac:dyDescent="0.25">
      <c r="A149">
        <v>92.891400000000004</v>
      </c>
      <c r="B149">
        <v>2.64E-2</v>
      </c>
      <c r="C149">
        <v>3.5000000000000001E-3</v>
      </c>
      <c r="D149">
        <v>0.46760000000000002</v>
      </c>
    </row>
    <row r="150" spans="1:8" x14ac:dyDescent="0.25">
      <c r="A150">
        <v>93.344899999999996</v>
      </c>
      <c r="B150">
        <v>2.69E-2</v>
      </c>
      <c r="C150">
        <v>3.5999999999999999E-3</v>
      </c>
      <c r="D150">
        <v>0.46850000000000003</v>
      </c>
    </row>
    <row r="151" spans="1:8" x14ac:dyDescent="0.25">
      <c r="A151">
        <v>94.209299999999999</v>
      </c>
      <c r="B151">
        <v>2.7799999999999998E-2</v>
      </c>
      <c r="C151">
        <v>3.8E-3</v>
      </c>
      <c r="D151">
        <v>0.47039999999999998</v>
      </c>
    </row>
    <row r="152" spans="1:8" x14ac:dyDescent="0.25">
      <c r="A152">
        <v>95.073700000000002</v>
      </c>
      <c r="B152">
        <v>2.87E-2</v>
      </c>
      <c r="C152">
        <v>4.0000000000000001E-3</v>
      </c>
      <c r="D152">
        <v>0.47220000000000001</v>
      </c>
    </row>
    <row r="153" spans="1:8" x14ac:dyDescent="0.25">
      <c r="A153">
        <v>95.938100000000006</v>
      </c>
      <c r="B153">
        <v>2.9600000000000001E-2</v>
      </c>
      <c r="C153">
        <v>4.1000000000000003E-3</v>
      </c>
      <c r="D153">
        <v>0.47399999999999998</v>
      </c>
    </row>
    <row r="154" spans="1:8" x14ac:dyDescent="0.25">
      <c r="A154">
        <v>96.802499999999995</v>
      </c>
      <c r="B154">
        <v>3.0499999999999999E-2</v>
      </c>
      <c r="C154">
        <v>4.3E-3</v>
      </c>
      <c r="D154">
        <v>0.4758</v>
      </c>
    </row>
    <row r="155" spans="1:8" x14ac:dyDescent="0.25">
      <c r="A155">
        <v>97.584100000000007</v>
      </c>
      <c r="B155">
        <v>3.1399999999999997E-2</v>
      </c>
      <c r="C155">
        <v>4.4999999999999997E-3</v>
      </c>
      <c r="D155">
        <v>0.47739999999999999</v>
      </c>
    </row>
    <row r="156" spans="1:8" x14ac:dyDescent="0.25">
      <c r="A156">
        <v>98.365700000000004</v>
      </c>
      <c r="B156">
        <v>3.2199999999999999E-2</v>
      </c>
      <c r="C156">
        <v>4.7000000000000002E-3</v>
      </c>
      <c r="D156">
        <v>0.47889999999999999</v>
      </c>
    </row>
    <row r="157" spans="1:8" x14ac:dyDescent="0.25">
      <c r="A157">
        <v>99.147300000000001</v>
      </c>
      <c r="B157">
        <v>3.3099999999999997E-2</v>
      </c>
      <c r="C157">
        <v>4.8999999999999998E-3</v>
      </c>
      <c r="D157">
        <v>0.48049999999999998</v>
      </c>
    </row>
    <row r="158" spans="1:8" x14ac:dyDescent="0.25">
      <c r="A158">
        <v>99.928899999999999</v>
      </c>
      <c r="B158">
        <v>3.4000000000000002E-2</v>
      </c>
      <c r="C158">
        <v>5.0000000000000001E-3</v>
      </c>
      <c r="D158">
        <v>0.48209999999999997</v>
      </c>
    </row>
    <row r="159" spans="1:8" x14ac:dyDescent="0.25">
      <c r="A159">
        <v>100.58280000000001</v>
      </c>
      <c r="B159">
        <v>3.4799999999999998E-2</v>
      </c>
      <c r="C159">
        <v>5.1999999999999998E-3</v>
      </c>
      <c r="D159">
        <v>0.4834</v>
      </c>
    </row>
    <row r="160" spans="1:8" x14ac:dyDescent="0.25">
      <c r="A160">
        <v>101.2368</v>
      </c>
      <c r="B160">
        <v>3.5499999999999997E-2</v>
      </c>
      <c r="C160">
        <v>5.4000000000000003E-3</v>
      </c>
      <c r="D160">
        <v>0.48470000000000002</v>
      </c>
    </row>
    <row r="161" spans="1:4" x14ac:dyDescent="0.25">
      <c r="A161">
        <v>101.8907</v>
      </c>
      <c r="B161">
        <v>3.6299999999999999E-2</v>
      </c>
      <c r="C161">
        <v>5.4999999999999997E-3</v>
      </c>
      <c r="D161">
        <v>0.48599999999999999</v>
      </c>
    </row>
    <row r="162" spans="1:4" x14ac:dyDescent="0.25">
      <c r="A162">
        <v>102.54470000000001</v>
      </c>
      <c r="B162">
        <v>3.7100000000000001E-2</v>
      </c>
      <c r="C162">
        <v>5.7000000000000002E-3</v>
      </c>
      <c r="D162">
        <v>0.48730000000000001</v>
      </c>
    </row>
    <row r="163" spans="1:4" x14ac:dyDescent="0.25">
      <c r="A163">
        <v>103.1718</v>
      </c>
      <c r="B163">
        <v>3.7900000000000003E-2</v>
      </c>
      <c r="C163">
        <v>5.7999999999999996E-3</v>
      </c>
      <c r="D163">
        <v>0.48849999999999999</v>
      </c>
    </row>
    <row r="164" spans="1:4" x14ac:dyDescent="0.25">
      <c r="A164">
        <v>103.79900000000001</v>
      </c>
      <c r="B164">
        <v>3.8600000000000002E-2</v>
      </c>
      <c r="C164">
        <v>6.0000000000000001E-3</v>
      </c>
      <c r="D164">
        <v>0.48970000000000002</v>
      </c>
    </row>
    <row r="165" spans="1:4" x14ac:dyDescent="0.25">
      <c r="A165">
        <v>104.42619999999999</v>
      </c>
      <c r="B165">
        <v>3.9399999999999998E-2</v>
      </c>
      <c r="C165">
        <v>6.1999999999999998E-3</v>
      </c>
      <c r="D165">
        <v>0.4909</v>
      </c>
    </row>
    <row r="166" spans="1:4" x14ac:dyDescent="0.25">
      <c r="A166">
        <v>105.0534</v>
      </c>
      <c r="B166">
        <v>4.02E-2</v>
      </c>
      <c r="C166">
        <v>6.3E-3</v>
      </c>
      <c r="D166">
        <v>0.49209999999999998</v>
      </c>
    </row>
    <row r="167" spans="1:4" x14ac:dyDescent="0.25">
      <c r="A167">
        <v>105.74760000000001</v>
      </c>
      <c r="B167">
        <v>4.1000000000000002E-2</v>
      </c>
      <c r="C167">
        <v>6.4999999999999997E-3</v>
      </c>
      <c r="D167">
        <v>0.49349999999999999</v>
      </c>
    </row>
    <row r="168" spans="1:4" x14ac:dyDescent="0.25">
      <c r="A168">
        <v>106.4418</v>
      </c>
      <c r="B168">
        <v>4.19E-2</v>
      </c>
      <c r="C168">
        <v>6.7000000000000002E-3</v>
      </c>
      <c r="D168">
        <v>0.49480000000000002</v>
      </c>
    </row>
    <row r="169" spans="1:4" x14ac:dyDescent="0.25">
      <c r="A169">
        <v>107.136</v>
      </c>
      <c r="B169">
        <v>4.2799999999999998E-2</v>
      </c>
      <c r="C169">
        <v>6.8999999999999999E-3</v>
      </c>
      <c r="D169">
        <v>0.49609999999999999</v>
      </c>
    </row>
    <row r="170" spans="1:4" x14ac:dyDescent="0.25">
      <c r="A170">
        <v>107.83029999999999</v>
      </c>
      <c r="B170">
        <v>4.3700000000000003E-2</v>
      </c>
      <c r="C170">
        <v>7.1000000000000004E-3</v>
      </c>
      <c r="D170">
        <v>0.49740000000000001</v>
      </c>
    </row>
    <row r="171" spans="1:4" x14ac:dyDescent="0.25">
      <c r="A171">
        <v>108.5677</v>
      </c>
      <c r="B171">
        <v>4.4600000000000001E-2</v>
      </c>
      <c r="C171">
        <v>7.3000000000000001E-3</v>
      </c>
      <c r="D171">
        <v>0.49880000000000002</v>
      </c>
    </row>
    <row r="172" spans="1:4" x14ac:dyDescent="0.25">
      <c r="A172">
        <v>109.3051</v>
      </c>
      <c r="B172">
        <v>4.5600000000000002E-2</v>
      </c>
      <c r="C172">
        <v>7.6E-3</v>
      </c>
      <c r="D172">
        <v>0.50009999999999999</v>
      </c>
    </row>
    <row r="173" spans="1:4" x14ac:dyDescent="0.25">
      <c r="A173">
        <v>110.0425</v>
      </c>
      <c r="B173">
        <v>4.65E-2</v>
      </c>
      <c r="C173">
        <v>7.7999999999999996E-3</v>
      </c>
      <c r="D173">
        <v>0.50149999999999995</v>
      </c>
    </row>
    <row r="174" spans="1:4" x14ac:dyDescent="0.25">
      <c r="A174">
        <v>110.7799</v>
      </c>
      <c r="B174">
        <v>4.7500000000000001E-2</v>
      </c>
      <c r="C174">
        <v>8.0000000000000002E-3</v>
      </c>
      <c r="D174">
        <v>0.50280000000000002</v>
      </c>
    </row>
    <row r="175" spans="1:4" x14ac:dyDescent="0.25">
      <c r="A175">
        <v>111.5009</v>
      </c>
      <c r="B175">
        <v>4.8399999999999999E-2</v>
      </c>
      <c r="C175">
        <v>8.2000000000000007E-3</v>
      </c>
      <c r="D175">
        <v>0.50409999999999999</v>
      </c>
    </row>
    <row r="176" spans="1:4" x14ac:dyDescent="0.25">
      <c r="A176">
        <v>112.2218</v>
      </c>
      <c r="B176">
        <v>4.9399999999999999E-2</v>
      </c>
      <c r="C176">
        <v>8.5000000000000006E-3</v>
      </c>
      <c r="D176">
        <v>0.50539999999999996</v>
      </c>
    </row>
    <row r="177" spans="1:8" x14ac:dyDescent="0.25">
      <c r="A177">
        <v>112.94280000000001</v>
      </c>
      <c r="B177">
        <v>5.0299999999999997E-2</v>
      </c>
      <c r="C177">
        <v>8.6999999999999994E-3</v>
      </c>
      <c r="D177">
        <v>0.50670000000000004</v>
      </c>
    </row>
    <row r="178" spans="1:8" x14ac:dyDescent="0.25">
      <c r="A178">
        <v>113.66379999999999</v>
      </c>
      <c r="B178">
        <v>5.1299999999999998E-2</v>
      </c>
      <c r="C178">
        <v>8.8999999999999999E-3</v>
      </c>
      <c r="D178">
        <v>0.50800000000000001</v>
      </c>
    </row>
    <row r="179" spans="1:8" x14ac:dyDescent="0.25">
      <c r="A179">
        <v>114.35939999999999</v>
      </c>
      <c r="B179">
        <v>5.2200000000000003E-2</v>
      </c>
      <c r="C179">
        <v>9.1999999999999998E-3</v>
      </c>
      <c r="D179">
        <v>0.50919999999999999</v>
      </c>
    </row>
    <row r="180" spans="1:8" x14ac:dyDescent="0.25">
      <c r="A180">
        <v>115.05500000000001</v>
      </c>
      <c r="B180">
        <v>5.3100000000000001E-2</v>
      </c>
      <c r="C180">
        <v>9.4000000000000004E-3</v>
      </c>
      <c r="D180">
        <v>0.51039999999999996</v>
      </c>
    </row>
    <row r="181" spans="1:8" x14ac:dyDescent="0.25">
      <c r="A181">
        <v>115.75060000000001</v>
      </c>
      <c r="B181">
        <v>5.4100000000000002E-2</v>
      </c>
      <c r="C181">
        <v>9.5999999999999992E-3</v>
      </c>
      <c r="D181">
        <v>0.51160000000000005</v>
      </c>
    </row>
    <row r="182" spans="1:8" x14ac:dyDescent="0.25">
      <c r="A182">
        <v>116.4462</v>
      </c>
      <c r="B182">
        <v>5.5E-2</v>
      </c>
      <c r="C182">
        <v>9.7999999999999997E-3</v>
      </c>
      <c r="D182">
        <v>0.51280000000000003</v>
      </c>
    </row>
    <row r="183" spans="1:8" x14ac:dyDescent="0.25">
      <c r="A183">
        <v>117.1459</v>
      </c>
      <c r="B183">
        <v>5.5899999999999998E-2</v>
      </c>
      <c r="C183">
        <v>1.01E-2</v>
      </c>
      <c r="D183">
        <v>0.51400000000000001</v>
      </c>
    </row>
    <row r="184" spans="1:8" x14ac:dyDescent="0.25">
      <c r="A184">
        <v>117.84569999999999</v>
      </c>
      <c r="B184">
        <v>5.6800000000000003E-2</v>
      </c>
      <c r="C184">
        <v>1.03E-2</v>
      </c>
      <c r="D184">
        <v>0.51519999999999999</v>
      </c>
    </row>
    <row r="185" spans="1:8" x14ac:dyDescent="0.25">
      <c r="A185">
        <v>118.5455</v>
      </c>
      <c r="B185">
        <v>5.7799999999999997E-2</v>
      </c>
      <c r="C185">
        <v>1.06E-2</v>
      </c>
      <c r="D185">
        <v>0.51639999999999997</v>
      </c>
    </row>
    <row r="186" spans="1:8" x14ac:dyDescent="0.25">
      <c r="A186">
        <v>119.2452</v>
      </c>
      <c r="B186">
        <v>5.8700000000000002E-2</v>
      </c>
      <c r="C186">
        <v>1.0800000000000001E-2</v>
      </c>
      <c r="D186">
        <v>0.51759999999999995</v>
      </c>
      <c r="G186">
        <f>4*365/12</f>
        <v>121.66666666666667</v>
      </c>
    </row>
    <row r="187" spans="1:8" x14ac:dyDescent="0.25">
      <c r="A187">
        <v>119.7556</v>
      </c>
      <c r="B187">
        <v>5.9400000000000001E-2</v>
      </c>
      <c r="C187">
        <v>1.0999999999999999E-2</v>
      </c>
      <c r="D187">
        <v>0.51839999999999997</v>
      </c>
    </row>
    <row r="188" spans="1:8" x14ac:dyDescent="0.25">
      <c r="A188">
        <v>120.2659</v>
      </c>
      <c r="B188">
        <v>6.0100000000000001E-2</v>
      </c>
      <c r="C188">
        <v>1.12E-2</v>
      </c>
      <c r="D188">
        <v>0.51929999999999998</v>
      </c>
    </row>
    <row r="189" spans="1:8" x14ac:dyDescent="0.25">
      <c r="A189">
        <v>120.7762</v>
      </c>
      <c r="B189">
        <v>6.0699999999999997E-2</v>
      </c>
      <c r="C189">
        <v>1.1299999999999999E-2</v>
      </c>
      <c r="D189">
        <v>0.52010000000000001</v>
      </c>
    </row>
    <row r="190" spans="1:8" x14ac:dyDescent="0.25">
      <c r="A190">
        <v>121.2865</v>
      </c>
      <c r="B190">
        <v>6.1400000000000003E-2</v>
      </c>
      <c r="C190">
        <v>1.15E-2</v>
      </c>
      <c r="D190">
        <v>0.52100000000000002</v>
      </c>
      <c r="F190">
        <f>B190</f>
        <v>6.1400000000000003E-2</v>
      </c>
      <c r="G190">
        <f t="shared" ref="G190:H190" si="3">C190</f>
        <v>1.15E-2</v>
      </c>
      <c r="H190">
        <f t="shared" si="3"/>
        <v>0.52100000000000002</v>
      </c>
    </row>
    <row r="191" spans="1:8" x14ac:dyDescent="0.25">
      <c r="A191">
        <v>121.79689999999999</v>
      </c>
      <c r="B191">
        <v>6.2100000000000002E-2</v>
      </c>
      <c r="C191">
        <v>1.17E-2</v>
      </c>
      <c r="D191">
        <v>0.52180000000000004</v>
      </c>
    </row>
    <row r="192" spans="1:8" x14ac:dyDescent="0.25">
      <c r="A192">
        <v>122.30719999999999</v>
      </c>
      <c r="B192">
        <v>6.2700000000000006E-2</v>
      </c>
      <c r="C192">
        <v>1.1900000000000001E-2</v>
      </c>
      <c r="D192">
        <v>0.52270000000000005</v>
      </c>
    </row>
    <row r="193" spans="1:4" x14ac:dyDescent="0.25">
      <c r="A193">
        <v>122.8175</v>
      </c>
      <c r="B193">
        <v>6.3399999999999998E-2</v>
      </c>
      <c r="C193">
        <v>1.21E-2</v>
      </c>
      <c r="D193">
        <v>0.52349999999999997</v>
      </c>
    </row>
    <row r="194" spans="1:4" x14ac:dyDescent="0.25">
      <c r="A194">
        <v>123.3279</v>
      </c>
      <c r="B194">
        <v>6.4100000000000004E-2</v>
      </c>
      <c r="C194">
        <v>1.23E-2</v>
      </c>
      <c r="D194">
        <v>0.52429999999999999</v>
      </c>
    </row>
    <row r="195" spans="1:4" x14ac:dyDescent="0.25">
      <c r="A195">
        <v>124.1211</v>
      </c>
      <c r="B195">
        <v>6.5100000000000005E-2</v>
      </c>
      <c r="C195">
        <v>1.2500000000000001E-2</v>
      </c>
      <c r="D195">
        <v>0.52559999999999996</v>
      </c>
    </row>
    <row r="196" spans="1:4" x14ac:dyDescent="0.25">
      <c r="A196">
        <v>124.9143</v>
      </c>
      <c r="B196">
        <v>6.6100000000000006E-2</v>
      </c>
      <c r="C196">
        <v>1.2800000000000001E-2</v>
      </c>
      <c r="D196">
        <v>0.52690000000000003</v>
      </c>
    </row>
    <row r="197" spans="1:4" x14ac:dyDescent="0.25">
      <c r="A197">
        <v>125.7075</v>
      </c>
      <c r="B197">
        <v>6.7100000000000007E-2</v>
      </c>
      <c r="C197">
        <v>1.3100000000000001E-2</v>
      </c>
      <c r="D197">
        <v>0.5282</v>
      </c>
    </row>
    <row r="198" spans="1:4" x14ac:dyDescent="0.25">
      <c r="A198">
        <v>126.50069999999999</v>
      </c>
      <c r="B198">
        <v>6.8099999999999994E-2</v>
      </c>
      <c r="C198">
        <v>1.34E-2</v>
      </c>
      <c r="D198">
        <v>0.52939999999999998</v>
      </c>
    </row>
    <row r="199" spans="1:4" x14ac:dyDescent="0.25">
      <c r="A199">
        <v>127.4063</v>
      </c>
      <c r="B199">
        <v>6.93E-2</v>
      </c>
      <c r="C199">
        <v>1.37E-2</v>
      </c>
      <c r="D199">
        <v>0.53080000000000005</v>
      </c>
    </row>
    <row r="200" spans="1:4" x14ac:dyDescent="0.25">
      <c r="A200">
        <v>128.31190000000001</v>
      </c>
      <c r="B200">
        <v>7.0400000000000004E-2</v>
      </c>
      <c r="C200">
        <v>1.41E-2</v>
      </c>
      <c r="D200">
        <v>0.53220000000000001</v>
      </c>
    </row>
    <row r="201" spans="1:4" x14ac:dyDescent="0.25">
      <c r="A201">
        <v>129.2174</v>
      </c>
      <c r="B201">
        <v>7.1499999999999994E-2</v>
      </c>
      <c r="C201">
        <v>1.44E-2</v>
      </c>
      <c r="D201">
        <v>0.53359999999999996</v>
      </c>
    </row>
    <row r="202" spans="1:4" x14ac:dyDescent="0.25">
      <c r="A202">
        <v>130.12299999999999</v>
      </c>
      <c r="B202">
        <v>7.2599999999999998E-2</v>
      </c>
      <c r="C202">
        <v>1.47E-2</v>
      </c>
      <c r="D202">
        <v>0.53500000000000003</v>
      </c>
    </row>
    <row r="203" spans="1:4" x14ac:dyDescent="0.25">
      <c r="A203">
        <v>130.98580000000001</v>
      </c>
      <c r="B203">
        <v>7.3599999999999999E-2</v>
      </c>
      <c r="C203">
        <v>1.5100000000000001E-2</v>
      </c>
      <c r="D203">
        <v>0.53620000000000001</v>
      </c>
    </row>
    <row r="204" spans="1:4" x14ac:dyDescent="0.25">
      <c r="A204">
        <v>131.8486</v>
      </c>
      <c r="B204">
        <v>7.4700000000000003E-2</v>
      </c>
      <c r="C204">
        <v>1.54E-2</v>
      </c>
      <c r="D204">
        <v>0.53749999999999998</v>
      </c>
    </row>
    <row r="205" spans="1:4" x14ac:dyDescent="0.25">
      <c r="A205">
        <v>132.7115</v>
      </c>
      <c r="B205">
        <v>7.5700000000000003E-2</v>
      </c>
      <c r="C205">
        <v>1.5699999999999999E-2</v>
      </c>
      <c r="D205">
        <v>0.53879999999999995</v>
      </c>
    </row>
    <row r="206" spans="1:4" x14ac:dyDescent="0.25">
      <c r="A206">
        <v>133.57429999999999</v>
      </c>
      <c r="B206">
        <v>7.6700000000000004E-2</v>
      </c>
      <c r="C206">
        <v>1.6E-2</v>
      </c>
      <c r="D206">
        <v>0.54</v>
      </c>
    </row>
    <row r="207" spans="1:4" x14ac:dyDescent="0.25">
      <c r="A207">
        <v>134.30070000000001</v>
      </c>
      <c r="B207">
        <v>7.7499999999999999E-2</v>
      </c>
      <c r="C207">
        <v>1.6299999999999999E-2</v>
      </c>
      <c r="D207">
        <v>0.54110000000000003</v>
      </c>
    </row>
    <row r="208" spans="1:4" x14ac:dyDescent="0.25">
      <c r="A208">
        <v>135.02709999999999</v>
      </c>
      <c r="B208">
        <v>7.8299999999999995E-2</v>
      </c>
      <c r="C208">
        <v>1.6500000000000001E-2</v>
      </c>
      <c r="D208">
        <v>0.54210000000000003</v>
      </c>
    </row>
    <row r="209" spans="1:4" x14ac:dyDescent="0.25">
      <c r="A209">
        <v>135.75360000000001</v>
      </c>
      <c r="B209">
        <v>7.9100000000000004E-2</v>
      </c>
      <c r="C209">
        <v>1.6799999999999999E-2</v>
      </c>
      <c r="D209">
        <v>0.54310000000000003</v>
      </c>
    </row>
    <row r="210" spans="1:4" x14ac:dyDescent="0.25">
      <c r="A210">
        <v>136.47999999999999</v>
      </c>
      <c r="B210">
        <v>7.9899999999999999E-2</v>
      </c>
      <c r="C210">
        <v>1.7100000000000001E-2</v>
      </c>
      <c r="D210">
        <v>0.54410000000000003</v>
      </c>
    </row>
    <row r="211" spans="1:4" x14ac:dyDescent="0.25">
      <c r="A211">
        <v>137.15450000000001</v>
      </c>
      <c r="B211">
        <v>8.0600000000000005E-2</v>
      </c>
      <c r="C211">
        <v>1.7299999999999999E-2</v>
      </c>
      <c r="D211">
        <v>0.54510000000000003</v>
      </c>
    </row>
    <row r="212" spans="1:4" x14ac:dyDescent="0.25">
      <c r="A212">
        <v>137.82910000000001</v>
      </c>
      <c r="B212">
        <v>8.14E-2</v>
      </c>
      <c r="C212">
        <v>1.7500000000000002E-2</v>
      </c>
      <c r="D212">
        <v>0.54600000000000004</v>
      </c>
    </row>
    <row r="213" spans="1:4" x14ac:dyDescent="0.25">
      <c r="A213">
        <v>138.50370000000001</v>
      </c>
      <c r="B213">
        <v>8.2100000000000006E-2</v>
      </c>
      <c r="C213">
        <v>1.78E-2</v>
      </c>
      <c r="D213">
        <v>0.54690000000000005</v>
      </c>
    </row>
    <row r="214" spans="1:4" x14ac:dyDescent="0.25">
      <c r="A214">
        <v>139.1782</v>
      </c>
      <c r="B214">
        <v>8.2799999999999999E-2</v>
      </c>
      <c r="C214">
        <v>1.7999999999999999E-2</v>
      </c>
      <c r="D214">
        <v>0.54779999999999995</v>
      </c>
    </row>
    <row r="215" spans="1:4" x14ac:dyDescent="0.25">
      <c r="A215">
        <v>139.9545</v>
      </c>
      <c r="B215">
        <v>8.3599999999999994E-2</v>
      </c>
      <c r="C215">
        <v>1.83E-2</v>
      </c>
      <c r="D215">
        <v>0.54890000000000005</v>
      </c>
    </row>
    <row r="216" spans="1:4" x14ac:dyDescent="0.25">
      <c r="A216">
        <v>140.73079999999999</v>
      </c>
      <c r="B216">
        <v>8.43E-2</v>
      </c>
      <c r="C216">
        <v>1.8599999999999998E-2</v>
      </c>
      <c r="D216">
        <v>0.54990000000000006</v>
      </c>
    </row>
    <row r="217" spans="1:4" x14ac:dyDescent="0.25">
      <c r="A217">
        <v>141.50710000000001</v>
      </c>
      <c r="B217">
        <v>8.5099999999999995E-2</v>
      </c>
      <c r="C217">
        <v>1.8800000000000001E-2</v>
      </c>
      <c r="D217">
        <v>0.55089999999999995</v>
      </c>
    </row>
    <row r="218" spans="1:4" x14ac:dyDescent="0.25">
      <c r="A218">
        <v>142.2834</v>
      </c>
      <c r="B218">
        <v>8.5900000000000004E-2</v>
      </c>
      <c r="C218">
        <v>1.9099999999999999E-2</v>
      </c>
      <c r="D218">
        <v>0.55189999999999995</v>
      </c>
    </row>
    <row r="219" spans="1:4" x14ac:dyDescent="0.25">
      <c r="A219">
        <v>143.316</v>
      </c>
      <c r="B219">
        <v>8.6800000000000002E-2</v>
      </c>
      <c r="C219">
        <v>1.9400000000000001E-2</v>
      </c>
      <c r="D219">
        <v>0.55330000000000001</v>
      </c>
    </row>
    <row r="220" spans="1:4" x14ac:dyDescent="0.25">
      <c r="A220">
        <v>144.3486</v>
      </c>
      <c r="B220">
        <v>8.7800000000000003E-2</v>
      </c>
      <c r="C220">
        <v>1.9800000000000002E-2</v>
      </c>
      <c r="D220">
        <v>0.55459999999999998</v>
      </c>
    </row>
    <row r="221" spans="1:4" x14ac:dyDescent="0.25">
      <c r="A221">
        <v>145.38120000000001</v>
      </c>
      <c r="B221">
        <v>8.8700000000000001E-2</v>
      </c>
      <c r="C221">
        <v>2.01E-2</v>
      </c>
      <c r="D221">
        <v>0.55589999999999995</v>
      </c>
    </row>
    <row r="222" spans="1:4" x14ac:dyDescent="0.25">
      <c r="A222">
        <v>146.41370000000001</v>
      </c>
      <c r="B222">
        <v>8.9599999999999999E-2</v>
      </c>
      <c r="C222">
        <v>2.0500000000000001E-2</v>
      </c>
      <c r="D222">
        <v>0.55720000000000003</v>
      </c>
    </row>
    <row r="223" spans="1:4" x14ac:dyDescent="0.25">
      <c r="A223">
        <v>147.11170000000001</v>
      </c>
      <c r="B223">
        <v>9.0200000000000002E-2</v>
      </c>
      <c r="C223">
        <v>2.07E-2</v>
      </c>
      <c r="D223">
        <v>0.55800000000000005</v>
      </c>
    </row>
    <row r="224" spans="1:4" x14ac:dyDescent="0.25">
      <c r="A224">
        <v>147.80969999999999</v>
      </c>
      <c r="B224">
        <v>9.0800000000000006E-2</v>
      </c>
      <c r="C224">
        <v>2.0899999999999998E-2</v>
      </c>
      <c r="D224">
        <v>0.55889999999999995</v>
      </c>
    </row>
    <row r="225" spans="1:8" x14ac:dyDescent="0.25">
      <c r="A225">
        <v>148.5076</v>
      </c>
      <c r="B225">
        <v>9.1399999999999995E-2</v>
      </c>
      <c r="C225">
        <v>2.1100000000000001E-2</v>
      </c>
      <c r="D225">
        <v>0.55979999999999996</v>
      </c>
    </row>
    <row r="226" spans="1:8" x14ac:dyDescent="0.25">
      <c r="A226">
        <v>149.2056</v>
      </c>
      <c r="B226">
        <v>9.1999999999999998E-2</v>
      </c>
      <c r="C226">
        <v>2.1299999999999999E-2</v>
      </c>
      <c r="D226">
        <v>0.56059999999999999</v>
      </c>
    </row>
    <row r="227" spans="1:8" x14ac:dyDescent="0.25">
      <c r="A227">
        <v>149.90350000000001</v>
      </c>
      <c r="B227">
        <v>9.2499999999999999E-2</v>
      </c>
      <c r="C227">
        <v>2.1499999999999998E-2</v>
      </c>
      <c r="D227">
        <v>0.56130000000000002</v>
      </c>
    </row>
    <row r="228" spans="1:8" x14ac:dyDescent="0.25">
      <c r="A228">
        <v>150.60149999999999</v>
      </c>
      <c r="B228">
        <v>9.3100000000000002E-2</v>
      </c>
      <c r="C228">
        <v>2.18E-2</v>
      </c>
      <c r="D228">
        <v>0.56200000000000006</v>
      </c>
      <c r="G228">
        <f>5*365/12</f>
        <v>152.08333333333334</v>
      </c>
    </row>
    <row r="229" spans="1:8" x14ac:dyDescent="0.25">
      <c r="A229">
        <v>151.29949999999999</v>
      </c>
      <c r="B229">
        <v>9.3600000000000003E-2</v>
      </c>
      <c r="C229">
        <v>2.1999999999999999E-2</v>
      </c>
      <c r="D229">
        <v>0.56259999999999999</v>
      </c>
    </row>
    <row r="230" spans="1:8" x14ac:dyDescent="0.25">
      <c r="A230">
        <v>151.9974</v>
      </c>
      <c r="B230">
        <v>9.4100000000000003E-2</v>
      </c>
      <c r="C230">
        <v>2.2200000000000001E-2</v>
      </c>
      <c r="D230">
        <v>0.56330000000000002</v>
      </c>
      <c r="F230">
        <f>B230</f>
        <v>9.4100000000000003E-2</v>
      </c>
      <c r="G230">
        <f t="shared" ref="G230:H230" si="4">C230</f>
        <v>2.2200000000000001E-2</v>
      </c>
      <c r="H230">
        <f t="shared" si="4"/>
        <v>0.56330000000000002</v>
      </c>
    </row>
    <row r="231" spans="1:8" x14ac:dyDescent="0.25">
      <c r="A231">
        <v>152.595</v>
      </c>
      <c r="B231">
        <v>9.4600000000000004E-2</v>
      </c>
      <c r="C231">
        <v>2.23E-2</v>
      </c>
      <c r="D231">
        <v>0.56379999999999997</v>
      </c>
    </row>
    <row r="232" spans="1:8" x14ac:dyDescent="0.25">
      <c r="A232">
        <v>153.1926</v>
      </c>
      <c r="B232">
        <v>9.5000000000000001E-2</v>
      </c>
      <c r="C232">
        <v>2.2499999999999999E-2</v>
      </c>
      <c r="D232">
        <v>0.56440000000000001</v>
      </c>
    </row>
    <row r="233" spans="1:8" x14ac:dyDescent="0.25">
      <c r="A233">
        <v>153.7902</v>
      </c>
      <c r="B233">
        <v>9.5399999999999999E-2</v>
      </c>
      <c r="C233">
        <v>2.2700000000000001E-2</v>
      </c>
      <c r="D233">
        <v>0.56489999999999996</v>
      </c>
    </row>
    <row r="234" spans="1:8" x14ac:dyDescent="0.25">
      <c r="A234">
        <v>154.3877</v>
      </c>
      <c r="B234">
        <v>9.5799999999999996E-2</v>
      </c>
      <c r="C234">
        <v>2.29E-2</v>
      </c>
      <c r="D234">
        <v>0.5655</v>
      </c>
    </row>
    <row r="235" spans="1:8" x14ac:dyDescent="0.25">
      <c r="A235">
        <v>155.1001</v>
      </c>
      <c r="B235">
        <v>9.6299999999999997E-2</v>
      </c>
      <c r="C235">
        <v>2.3099999999999999E-2</v>
      </c>
      <c r="D235">
        <v>0.56610000000000005</v>
      </c>
    </row>
    <row r="236" spans="1:8" x14ac:dyDescent="0.25">
      <c r="A236">
        <v>155.8124</v>
      </c>
      <c r="B236">
        <v>9.6799999999999997E-2</v>
      </c>
      <c r="C236">
        <v>2.3199999999999998E-2</v>
      </c>
      <c r="D236">
        <v>0.56669999999999998</v>
      </c>
    </row>
    <row r="237" spans="1:8" x14ac:dyDescent="0.25">
      <c r="A237">
        <v>156.5247</v>
      </c>
      <c r="B237">
        <v>9.7299999999999998E-2</v>
      </c>
      <c r="C237">
        <v>2.3400000000000001E-2</v>
      </c>
      <c r="D237">
        <v>0.56740000000000002</v>
      </c>
    </row>
    <row r="238" spans="1:8" x14ac:dyDescent="0.25">
      <c r="A238">
        <v>157.23699999999999</v>
      </c>
      <c r="B238">
        <v>9.7699999999999995E-2</v>
      </c>
      <c r="C238">
        <v>2.3599999999999999E-2</v>
      </c>
      <c r="D238">
        <v>0.56799999999999995</v>
      </c>
    </row>
    <row r="239" spans="1:8" x14ac:dyDescent="0.25">
      <c r="A239">
        <v>158.06139999999999</v>
      </c>
      <c r="B239">
        <v>9.8299999999999998E-2</v>
      </c>
      <c r="C239">
        <v>2.3800000000000002E-2</v>
      </c>
      <c r="D239">
        <v>0.56869999999999998</v>
      </c>
    </row>
    <row r="240" spans="1:8" x14ac:dyDescent="0.25">
      <c r="A240">
        <v>158.88579999999999</v>
      </c>
      <c r="B240">
        <v>9.8799999999999999E-2</v>
      </c>
      <c r="C240">
        <v>2.41E-2</v>
      </c>
      <c r="D240">
        <v>0.56940000000000002</v>
      </c>
    </row>
    <row r="241" spans="1:4" x14ac:dyDescent="0.25">
      <c r="A241">
        <v>159.71010000000001</v>
      </c>
      <c r="B241">
        <v>9.9199999999999997E-2</v>
      </c>
      <c r="C241">
        <v>2.4299999999999999E-2</v>
      </c>
      <c r="D241">
        <v>0.57010000000000005</v>
      </c>
    </row>
    <row r="242" spans="1:4" x14ac:dyDescent="0.25">
      <c r="A242">
        <v>160.53450000000001</v>
      </c>
      <c r="B242">
        <v>9.9699999999999997E-2</v>
      </c>
      <c r="C242">
        <v>2.4500000000000001E-2</v>
      </c>
      <c r="D242">
        <v>0.57079999999999997</v>
      </c>
    </row>
    <row r="243" spans="1:4" x14ac:dyDescent="0.25">
      <c r="A243">
        <v>161.34270000000001</v>
      </c>
      <c r="B243">
        <v>0.1002</v>
      </c>
      <c r="C243">
        <v>2.47E-2</v>
      </c>
      <c r="D243">
        <v>0.57150000000000001</v>
      </c>
    </row>
    <row r="244" spans="1:4" x14ac:dyDescent="0.25">
      <c r="A244">
        <v>162.1508</v>
      </c>
      <c r="B244">
        <v>0.10059999999999999</v>
      </c>
      <c r="C244">
        <v>2.4899999999999999E-2</v>
      </c>
      <c r="D244">
        <v>0.57220000000000004</v>
      </c>
    </row>
    <row r="245" spans="1:4" x14ac:dyDescent="0.25">
      <c r="A245">
        <v>162.9589</v>
      </c>
      <c r="B245">
        <v>0.1011</v>
      </c>
      <c r="C245">
        <v>2.5000000000000001E-2</v>
      </c>
      <c r="D245">
        <v>0.57289999999999996</v>
      </c>
    </row>
    <row r="246" spans="1:4" x14ac:dyDescent="0.25">
      <c r="A246">
        <v>163.7671</v>
      </c>
      <c r="B246">
        <v>0.10150000000000001</v>
      </c>
      <c r="C246">
        <v>2.52E-2</v>
      </c>
      <c r="D246">
        <v>0.57350000000000001</v>
      </c>
    </row>
    <row r="247" spans="1:4" x14ac:dyDescent="0.25">
      <c r="A247">
        <v>164.50309999999999</v>
      </c>
      <c r="B247">
        <v>0.1019</v>
      </c>
      <c r="C247">
        <v>2.5399999999999999E-2</v>
      </c>
      <c r="D247">
        <v>0.57410000000000005</v>
      </c>
    </row>
    <row r="248" spans="1:4" x14ac:dyDescent="0.25">
      <c r="A248">
        <v>165.23910000000001</v>
      </c>
      <c r="B248">
        <v>0.1022</v>
      </c>
      <c r="C248">
        <v>2.5600000000000001E-2</v>
      </c>
      <c r="D248">
        <v>0.57469999999999999</v>
      </c>
    </row>
    <row r="249" spans="1:4" x14ac:dyDescent="0.25">
      <c r="A249">
        <v>165.9751</v>
      </c>
      <c r="B249">
        <v>0.1026</v>
      </c>
      <c r="C249">
        <v>2.5700000000000001E-2</v>
      </c>
      <c r="D249">
        <v>0.57530000000000003</v>
      </c>
    </row>
    <row r="250" spans="1:4" x14ac:dyDescent="0.25">
      <c r="A250">
        <v>166.71109999999999</v>
      </c>
      <c r="B250">
        <v>0.10290000000000001</v>
      </c>
      <c r="C250">
        <v>2.5899999999999999E-2</v>
      </c>
      <c r="D250">
        <v>0.57589999999999997</v>
      </c>
    </row>
    <row r="251" spans="1:4" x14ac:dyDescent="0.25">
      <c r="A251">
        <v>167.42250000000001</v>
      </c>
      <c r="B251">
        <v>0.1033</v>
      </c>
      <c r="C251">
        <v>2.5999999999999999E-2</v>
      </c>
      <c r="D251">
        <v>0.57650000000000001</v>
      </c>
    </row>
    <row r="252" spans="1:4" x14ac:dyDescent="0.25">
      <c r="A252">
        <v>168.13380000000001</v>
      </c>
      <c r="B252">
        <v>0.1036</v>
      </c>
      <c r="C252">
        <v>2.6200000000000001E-2</v>
      </c>
      <c r="D252">
        <v>0.57709999999999995</v>
      </c>
    </row>
    <row r="253" spans="1:4" x14ac:dyDescent="0.25">
      <c r="A253">
        <v>168.84520000000001</v>
      </c>
      <c r="B253">
        <v>0.10390000000000001</v>
      </c>
      <c r="C253">
        <v>2.63E-2</v>
      </c>
      <c r="D253">
        <v>0.5776</v>
      </c>
    </row>
    <row r="254" spans="1:4" x14ac:dyDescent="0.25">
      <c r="A254">
        <v>169.5565</v>
      </c>
      <c r="B254">
        <v>0.1042</v>
      </c>
      <c r="C254">
        <v>2.64E-2</v>
      </c>
      <c r="D254">
        <v>0.57820000000000005</v>
      </c>
    </row>
    <row r="255" spans="1:4" x14ac:dyDescent="0.25">
      <c r="A255">
        <v>170.30959999999999</v>
      </c>
      <c r="B255">
        <v>0.1045</v>
      </c>
      <c r="C255">
        <v>2.6599999999999999E-2</v>
      </c>
      <c r="D255">
        <v>0.57879999999999998</v>
      </c>
    </row>
    <row r="256" spans="1:4" x14ac:dyDescent="0.25">
      <c r="A256">
        <v>171.06280000000001</v>
      </c>
      <c r="B256">
        <v>0.1048</v>
      </c>
      <c r="C256">
        <v>2.6700000000000002E-2</v>
      </c>
      <c r="D256">
        <v>0.57940000000000003</v>
      </c>
    </row>
    <row r="257" spans="1:8" x14ac:dyDescent="0.25">
      <c r="A257">
        <v>171.8159</v>
      </c>
      <c r="B257">
        <v>0.1051</v>
      </c>
      <c r="C257">
        <v>2.69E-2</v>
      </c>
      <c r="D257">
        <v>0.57989999999999997</v>
      </c>
    </row>
    <row r="258" spans="1:8" x14ac:dyDescent="0.25">
      <c r="A258">
        <v>172.56899999999999</v>
      </c>
      <c r="B258">
        <v>0.10539999999999999</v>
      </c>
      <c r="C258">
        <v>2.7E-2</v>
      </c>
      <c r="D258">
        <v>0.58050000000000002</v>
      </c>
    </row>
    <row r="259" spans="1:8" x14ac:dyDescent="0.25">
      <c r="A259">
        <v>173.36949999999999</v>
      </c>
      <c r="B259">
        <v>0.1057</v>
      </c>
      <c r="C259">
        <v>2.7099999999999999E-2</v>
      </c>
      <c r="D259">
        <v>0.58109999999999995</v>
      </c>
    </row>
    <row r="260" spans="1:8" x14ac:dyDescent="0.25">
      <c r="A260">
        <v>174.17</v>
      </c>
      <c r="B260">
        <v>0.106</v>
      </c>
      <c r="C260">
        <v>2.7300000000000001E-2</v>
      </c>
      <c r="D260">
        <v>0.58169999999999999</v>
      </c>
    </row>
    <row r="261" spans="1:8" x14ac:dyDescent="0.25">
      <c r="A261">
        <v>174.97049999999999</v>
      </c>
      <c r="B261">
        <v>0.10630000000000001</v>
      </c>
      <c r="C261">
        <v>2.7400000000000001E-2</v>
      </c>
      <c r="D261">
        <v>0.58230000000000004</v>
      </c>
    </row>
    <row r="262" spans="1:8" x14ac:dyDescent="0.25">
      <c r="A262">
        <v>175.77090000000001</v>
      </c>
      <c r="B262">
        <v>0.1066</v>
      </c>
      <c r="C262">
        <v>2.75E-2</v>
      </c>
      <c r="D262">
        <v>0.58289999999999997</v>
      </c>
    </row>
    <row r="263" spans="1:8" x14ac:dyDescent="0.25">
      <c r="A263">
        <v>176.57239999999999</v>
      </c>
      <c r="B263">
        <v>0.10680000000000001</v>
      </c>
      <c r="C263">
        <v>2.7699999999999999E-2</v>
      </c>
      <c r="D263">
        <v>0.58350000000000002</v>
      </c>
    </row>
    <row r="264" spans="1:8" x14ac:dyDescent="0.25">
      <c r="A264">
        <v>177.37389999999999</v>
      </c>
      <c r="B264">
        <v>0.1071</v>
      </c>
      <c r="C264">
        <v>2.7799999999999998E-2</v>
      </c>
      <c r="D264">
        <v>0.58409999999999995</v>
      </c>
    </row>
    <row r="265" spans="1:8" x14ac:dyDescent="0.25">
      <c r="A265">
        <v>178.1754</v>
      </c>
      <c r="B265">
        <v>0.10730000000000001</v>
      </c>
      <c r="C265">
        <v>2.7900000000000001E-2</v>
      </c>
      <c r="D265">
        <v>0.5847</v>
      </c>
    </row>
    <row r="266" spans="1:8" x14ac:dyDescent="0.25">
      <c r="A266">
        <v>178.9769</v>
      </c>
      <c r="B266">
        <v>0.1076</v>
      </c>
      <c r="C266">
        <v>2.8000000000000001E-2</v>
      </c>
      <c r="D266">
        <v>0.58530000000000004</v>
      </c>
    </row>
    <row r="267" spans="1:8" x14ac:dyDescent="0.25">
      <c r="A267">
        <v>179.23269999999999</v>
      </c>
      <c r="B267">
        <v>0.1077</v>
      </c>
      <c r="C267">
        <v>2.81E-2</v>
      </c>
      <c r="D267">
        <v>0.58550000000000002</v>
      </c>
    </row>
    <row r="268" spans="1:8" x14ac:dyDescent="0.25">
      <c r="A268">
        <v>179.48840000000001</v>
      </c>
      <c r="B268">
        <v>0.1077</v>
      </c>
      <c r="C268">
        <v>2.81E-2</v>
      </c>
      <c r="D268">
        <v>0.5857</v>
      </c>
    </row>
    <row r="269" spans="1:8" x14ac:dyDescent="0.25">
      <c r="A269">
        <v>179.74420000000001</v>
      </c>
      <c r="B269">
        <v>0.10780000000000001</v>
      </c>
      <c r="C269">
        <v>2.8199999999999999E-2</v>
      </c>
      <c r="D269">
        <v>0.58589999999999998</v>
      </c>
    </row>
    <row r="270" spans="1:8" x14ac:dyDescent="0.25">
      <c r="A270">
        <v>180</v>
      </c>
      <c r="B270">
        <v>0.1079</v>
      </c>
      <c r="C270">
        <v>2.8199999999999999E-2</v>
      </c>
      <c r="D270">
        <v>0.58609999999999995</v>
      </c>
      <c r="F270">
        <f>B270</f>
        <v>0.1079</v>
      </c>
      <c r="G270">
        <f t="shared" ref="G270:H270" si="5">C270</f>
        <v>2.8199999999999999E-2</v>
      </c>
      <c r="H270">
        <f t="shared" si="5"/>
        <v>0.58609999999999995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4"/>
  <sheetViews>
    <sheetView workbookViewId="0"/>
  </sheetViews>
  <sheetFormatPr defaultRowHeight="15" x14ac:dyDescent="0.25"/>
  <sheetData>
    <row r="1" spans="1:10" ht="15.75" x14ac:dyDescent="0.25">
      <c r="A1" s="2" t="s">
        <v>5</v>
      </c>
    </row>
    <row r="3" spans="1:10" ht="15.75" x14ac:dyDescent="0.25">
      <c r="A3" t="s">
        <v>1</v>
      </c>
      <c r="B3" t="s">
        <v>2</v>
      </c>
      <c r="C3" t="s">
        <v>3</v>
      </c>
      <c r="D3" t="s">
        <v>4</v>
      </c>
      <c r="J3" s="1"/>
    </row>
    <row r="4" spans="1:10" x14ac:dyDescent="0.25">
      <c r="A4">
        <v>1</v>
      </c>
      <c r="B4">
        <v>0</v>
      </c>
      <c r="C4">
        <v>0</v>
      </c>
      <c r="D4">
        <v>0</v>
      </c>
    </row>
    <row r="5" spans="1:10" x14ac:dyDescent="0.25">
      <c r="A5">
        <v>1.1044</v>
      </c>
      <c r="B5">
        <v>0</v>
      </c>
      <c r="C5">
        <v>0</v>
      </c>
      <c r="D5">
        <v>5.9999999999999995E-4</v>
      </c>
    </row>
    <row r="6" spans="1:10" x14ac:dyDescent="0.25">
      <c r="A6">
        <v>1.2088000000000001</v>
      </c>
      <c r="B6">
        <v>0</v>
      </c>
      <c r="C6">
        <v>0</v>
      </c>
      <c r="D6">
        <v>1.2999999999999999E-3</v>
      </c>
    </row>
    <row r="7" spans="1:10" x14ac:dyDescent="0.25">
      <c r="A7">
        <v>1.3131999999999999</v>
      </c>
      <c r="B7">
        <v>0</v>
      </c>
      <c r="C7">
        <v>0</v>
      </c>
      <c r="D7">
        <v>1.9E-3</v>
      </c>
    </row>
    <row r="8" spans="1:10" x14ac:dyDescent="0.25">
      <c r="A8">
        <v>1.4176</v>
      </c>
      <c r="B8">
        <v>0</v>
      </c>
      <c r="C8">
        <v>0</v>
      </c>
      <c r="D8">
        <v>2.5000000000000001E-3</v>
      </c>
    </row>
    <row r="9" spans="1:10" x14ac:dyDescent="0.25">
      <c r="A9">
        <v>1.9177</v>
      </c>
      <c r="B9">
        <v>0</v>
      </c>
      <c r="C9">
        <v>0</v>
      </c>
      <c r="D9">
        <v>5.4999999999999997E-3</v>
      </c>
    </row>
    <row r="10" spans="1:10" x14ac:dyDescent="0.25">
      <c r="A10">
        <v>2.4178000000000002</v>
      </c>
      <c r="B10">
        <v>0</v>
      </c>
      <c r="C10">
        <v>0</v>
      </c>
      <c r="D10">
        <v>8.6E-3</v>
      </c>
    </row>
    <row r="11" spans="1:10" x14ac:dyDescent="0.25">
      <c r="A11">
        <v>2.9178999999999999</v>
      </c>
      <c r="B11">
        <v>0</v>
      </c>
      <c r="C11">
        <v>0</v>
      </c>
      <c r="D11">
        <v>1.1599999999999999E-2</v>
      </c>
    </row>
    <row r="12" spans="1:10" x14ac:dyDescent="0.25">
      <c r="A12">
        <v>3.4180000000000001</v>
      </c>
      <c r="B12">
        <v>0</v>
      </c>
      <c r="C12">
        <v>0</v>
      </c>
      <c r="D12">
        <v>1.4500000000000001E-2</v>
      </c>
    </row>
    <row r="13" spans="1:10" x14ac:dyDescent="0.25">
      <c r="A13">
        <v>3.9068999999999998</v>
      </c>
      <c r="B13">
        <v>0</v>
      </c>
      <c r="C13">
        <v>0</v>
      </c>
      <c r="D13">
        <v>1.7500000000000002E-2</v>
      </c>
    </row>
    <row r="14" spans="1:10" x14ac:dyDescent="0.25">
      <c r="A14">
        <v>4.3956999999999997</v>
      </c>
      <c r="B14">
        <v>0</v>
      </c>
      <c r="C14">
        <v>0</v>
      </c>
      <c r="D14">
        <v>2.0400000000000001E-2</v>
      </c>
    </row>
    <row r="15" spans="1:10" x14ac:dyDescent="0.25">
      <c r="A15">
        <v>4.8845000000000001</v>
      </c>
      <c r="B15">
        <v>0</v>
      </c>
      <c r="C15">
        <v>0</v>
      </c>
      <c r="D15">
        <v>2.3300000000000001E-2</v>
      </c>
    </row>
    <row r="16" spans="1:10" x14ac:dyDescent="0.25">
      <c r="A16">
        <v>5.3733000000000004</v>
      </c>
      <c r="B16">
        <v>0</v>
      </c>
      <c r="C16">
        <v>0</v>
      </c>
      <c r="D16">
        <v>2.6100000000000002E-2</v>
      </c>
    </row>
    <row r="17" spans="1:4" x14ac:dyDescent="0.25">
      <c r="A17">
        <v>6.0556999999999999</v>
      </c>
      <c r="B17">
        <v>0</v>
      </c>
      <c r="C17">
        <v>0</v>
      </c>
      <c r="D17">
        <v>3.0200000000000001E-2</v>
      </c>
    </row>
    <row r="18" spans="1:4" x14ac:dyDescent="0.25">
      <c r="A18">
        <v>6.7380000000000004</v>
      </c>
      <c r="B18">
        <v>0</v>
      </c>
      <c r="C18">
        <v>0</v>
      </c>
      <c r="D18">
        <v>3.4099999999999998E-2</v>
      </c>
    </row>
    <row r="19" spans="1:4" x14ac:dyDescent="0.25">
      <c r="A19">
        <v>7.4203000000000001</v>
      </c>
      <c r="B19">
        <v>1E-4</v>
      </c>
      <c r="C19">
        <v>0</v>
      </c>
      <c r="D19">
        <v>3.8100000000000002E-2</v>
      </c>
    </row>
    <row r="20" spans="1:4" x14ac:dyDescent="0.25">
      <c r="A20">
        <v>8.1027000000000005</v>
      </c>
      <c r="B20">
        <v>1E-4</v>
      </c>
      <c r="C20">
        <v>0</v>
      </c>
      <c r="D20">
        <v>4.2099999999999999E-2</v>
      </c>
    </row>
    <row r="21" spans="1:4" x14ac:dyDescent="0.25">
      <c r="A21">
        <v>9.0114000000000001</v>
      </c>
      <c r="B21">
        <v>1E-4</v>
      </c>
      <c r="C21">
        <v>0</v>
      </c>
      <c r="D21">
        <v>4.7300000000000002E-2</v>
      </c>
    </row>
    <row r="22" spans="1:4" x14ac:dyDescent="0.25">
      <c r="A22">
        <v>9.9200999999999997</v>
      </c>
      <c r="B22">
        <v>1E-4</v>
      </c>
      <c r="C22">
        <v>0</v>
      </c>
      <c r="D22">
        <v>5.2499999999999998E-2</v>
      </c>
    </row>
    <row r="23" spans="1:4" x14ac:dyDescent="0.25">
      <c r="A23">
        <v>10.828799999999999</v>
      </c>
      <c r="B23">
        <v>1E-4</v>
      </c>
      <c r="C23">
        <v>0</v>
      </c>
      <c r="D23">
        <v>5.7700000000000001E-2</v>
      </c>
    </row>
    <row r="24" spans="1:4" x14ac:dyDescent="0.25">
      <c r="A24">
        <v>11.737500000000001</v>
      </c>
      <c r="B24">
        <v>1E-4</v>
      </c>
      <c r="C24">
        <v>0</v>
      </c>
      <c r="D24">
        <v>6.2899999999999998E-2</v>
      </c>
    </row>
    <row r="25" spans="1:4" x14ac:dyDescent="0.25">
      <c r="A25">
        <v>12.4274</v>
      </c>
      <c r="B25">
        <v>1E-4</v>
      </c>
      <c r="C25">
        <v>0</v>
      </c>
      <c r="D25">
        <v>6.6799999999999998E-2</v>
      </c>
    </row>
    <row r="26" spans="1:4" x14ac:dyDescent="0.25">
      <c r="A26">
        <v>13.1173</v>
      </c>
      <c r="B26">
        <v>1E-4</v>
      </c>
      <c r="C26">
        <v>0</v>
      </c>
      <c r="D26">
        <v>7.0699999999999999E-2</v>
      </c>
    </row>
    <row r="27" spans="1:4" x14ac:dyDescent="0.25">
      <c r="A27">
        <v>13.8072</v>
      </c>
      <c r="B27">
        <v>1E-4</v>
      </c>
      <c r="C27">
        <v>0</v>
      </c>
      <c r="D27">
        <v>7.4499999999999997E-2</v>
      </c>
    </row>
    <row r="28" spans="1:4" x14ac:dyDescent="0.25">
      <c r="A28">
        <v>14.4971</v>
      </c>
      <c r="B28">
        <v>1E-4</v>
      </c>
      <c r="C28">
        <v>0</v>
      </c>
      <c r="D28">
        <v>7.8399999999999997E-2</v>
      </c>
    </row>
    <row r="29" spans="1:4" x14ac:dyDescent="0.25">
      <c r="A29">
        <v>15.186999999999999</v>
      </c>
      <c r="B29">
        <v>2.0000000000000001E-4</v>
      </c>
      <c r="C29">
        <v>0</v>
      </c>
      <c r="D29">
        <v>8.2199999999999995E-2</v>
      </c>
    </row>
    <row r="30" spans="1:4" x14ac:dyDescent="0.25">
      <c r="A30">
        <v>15.876899999999999</v>
      </c>
      <c r="B30">
        <v>2.0000000000000001E-4</v>
      </c>
      <c r="C30">
        <v>0</v>
      </c>
      <c r="D30">
        <v>8.5999999999999993E-2</v>
      </c>
    </row>
    <row r="31" spans="1:4" x14ac:dyDescent="0.25">
      <c r="A31">
        <v>16.566800000000001</v>
      </c>
      <c r="B31">
        <v>2.0000000000000001E-4</v>
      </c>
      <c r="C31">
        <v>0</v>
      </c>
      <c r="D31">
        <v>8.9800000000000005E-2</v>
      </c>
    </row>
    <row r="32" spans="1:4" x14ac:dyDescent="0.25">
      <c r="A32">
        <v>17.256699999999999</v>
      </c>
      <c r="B32">
        <v>2.0000000000000001E-4</v>
      </c>
      <c r="C32">
        <v>0</v>
      </c>
      <c r="D32">
        <v>9.3600000000000003E-2</v>
      </c>
    </row>
    <row r="33" spans="1:15" x14ac:dyDescent="0.25">
      <c r="A33">
        <v>18.025700000000001</v>
      </c>
      <c r="B33">
        <v>2.0000000000000001E-4</v>
      </c>
      <c r="C33">
        <v>0</v>
      </c>
      <c r="D33">
        <v>9.7799999999999998E-2</v>
      </c>
    </row>
    <row r="34" spans="1:15" x14ac:dyDescent="0.25">
      <c r="A34">
        <v>18.794699999999999</v>
      </c>
      <c r="B34">
        <v>2.0000000000000001E-4</v>
      </c>
      <c r="C34">
        <v>0</v>
      </c>
      <c r="D34">
        <v>0.1019</v>
      </c>
    </row>
    <row r="35" spans="1:15" x14ac:dyDescent="0.25">
      <c r="A35">
        <v>19.563700000000001</v>
      </c>
      <c r="B35">
        <v>2.9999999999999997E-4</v>
      </c>
      <c r="C35">
        <v>0</v>
      </c>
      <c r="D35">
        <v>0.1061</v>
      </c>
    </row>
    <row r="36" spans="1:15" x14ac:dyDescent="0.25">
      <c r="A36">
        <v>20.332699999999999</v>
      </c>
      <c r="B36">
        <v>2.9999999999999997E-4</v>
      </c>
      <c r="C36">
        <v>0</v>
      </c>
      <c r="D36">
        <v>0.11020000000000001</v>
      </c>
    </row>
    <row r="37" spans="1:15" x14ac:dyDescent="0.25">
      <c r="A37">
        <v>21.131699999999999</v>
      </c>
      <c r="B37">
        <v>2.9999999999999997E-4</v>
      </c>
      <c r="C37">
        <v>0</v>
      </c>
      <c r="D37">
        <v>0.1145</v>
      </c>
    </row>
    <row r="38" spans="1:15" x14ac:dyDescent="0.25">
      <c r="A38">
        <v>21.930700000000002</v>
      </c>
      <c r="B38">
        <v>2.9999999999999997E-4</v>
      </c>
      <c r="C38">
        <v>0</v>
      </c>
      <c r="D38">
        <v>0.1187</v>
      </c>
    </row>
    <row r="39" spans="1:15" x14ac:dyDescent="0.25">
      <c r="A39">
        <v>22.729700000000001</v>
      </c>
      <c r="B39">
        <v>4.0000000000000002E-4</v>
      </c>
      <c r="C39">
        <v>0</v>
      </c>
      <c r="D39">
        <v>0.1229</v>
      </c>
    </row>
    <row r="40" spans="1:15" x14ac:dyDescent="0.25">
      <c r="A40">
        <v>23.528700000000001</v>
      </c>
      <c r="B40">
        <v>4.0000000000000002E-4</v>
      </c>
      <c r="C40">
        <v>0</v>
      </c>
      <c r="D40">
        <v>0.12709999999999999</v>
      </c>
    </row>
    <row r="41" spans="1:15" x14ac:dyDescent="0.25">
      <c r="A41">
        <v>24.2669</v>
      </c>
      <c r="B41">
        <v>4.0000000000000002E-4</v>
      </c>
      <c r="C41">
        <v>0</v>
      </c>
      <c r="D41">
        <v>0.13100000000000001</v>
      </c>
    </row>
    <row r="42" spans="1:15" x14ac:dyDescent="0.25">
      <c r="A42">
        <v>25.005099999999999</v>
      </c>
      <c r="B42">
        <v>4.0000000000000002E-4</v>
      </c>
      <c r="C42">
        <v>0</v>
      </c>
      <c r="D42">
        <v>0.1348</v>
      </c>
    </row>
    <row r="43" spans="1:15" x14ac:dyDescent="0.25">
      <c r="A43">
        <v>25.743200000000002</v>
      </c>
      <c r="B43">
        <v>5.0000000000000001E-4</v>
      </c>
      <c r="C43">
        <v>0</v>
      </c>
      <c r="D43">
        <v>0.13869999999999999</v>
      </c>
    </row>
    <row r="44" spans="1:15" x14ac:dyDescent="0.25">
      <c r="A44">
        <v>26.481400000000001</v>
      </c>
      <c r="B44">
        <v>5.0000000000000001E-4</v>
      </c>
      <c r="C44">
        <v>0</v>
      </c>
      <c r="D44">
        <v>0.14249999999999999</v>
      </c>
    </row>
    <row r="45" spans="1:15" x14ac:dyDescent="0.25">
      <c r="A45">
        <v>27.146899999999999</v>
      </c>
      <c r="B45">
        <v>5.0000000000000001E-4</v>
      </c>
      <c r="C45">
        <v>0</v>
      </c>
      <c r="D45">
        <v>0.1459</v>
      </c>
    </row>
    <row r="46" spans="1:15" x14ac:dyDescent="0.25">
      <c r="A46">
        <v>27.8124</v>
      </c>
      <c r="B46">
        <v>5.9999999999999995E-4</v>
      </c>
      <c r="C46">
        <v>0</v>
      </c>
      <c r="D46">
        <v>0.14929999999999999</v>
      </c>
    </row>
    <row r="47" spans="1:15" x14ac:dyDescent="0.25">
      <c r="A47">
        <v>28.477900000000002</v>
      </c>
      <c r="B47">
        <v>5.9999999999999995E-4</v>
      </c>
      <c r="C47">
        <v>0</v>
      </c>
      <c r="D47">
        <v>0.1527</v>
      </c>
      <c r="L47" t="s">
        <v>6</v>
      </c>
      <c r="M47">
        <v>0</v>
      </c>
      <c r="N47">
        <v>0</v>
      </c>
      <c r="O47">
        <v>0</v>
      </c>
    </row>
    <row r="48" spans="1:15" x14ac:dyDescent="0.25">
      <c r="A48">
        <v>29.1434</v>
      </c>
      <c r="B48">
        <v>5.9999999999999995E-4</v>
      </c>
      <c r="C48">
        <v>0</v>
      </c>
      <c r="D48">
        <v>0.15609999999999999</v>
      </c>
      <c r="L48" t="s">
        <v>7</v>
      </c>
      <c r="M48">
        <v>6.9999999999999999E-4</v>
      </c>
      <c r="N48">
        <v>0</v>
      </c>
      <c r="O48">
        <v>0.16250000000000001</v>
      </c>
    </row>
    <row r="49" spans="1:15" x14ac:dyDescent="0.25">
      <c r="A49">
        <v>29.3399</v>
      </c>
      <c r="B49">
        <v>5.9999999999999995E-4</v>
      </c>
      <c r="C49">
        <v>0</v>
      </c>
      <c r="D49">
        <v>0.15709999999999999</v>
      </c>
      <c r="L49" t="s">
        <v>8</v>
      </c>
      <c r="M49">
        <v>6.1000000000000004E-3</v>
      </c>
      <c r="N49">
        <v>8.9999999999999998E-4</v>
      </c>
      <c r="O49">
        <v>0.34</v>
      </c>
    </row>
    <row r="50" spans="1:15" x14ac:dyDescent="0.25">
      <c r="A50">
        <v>29.536300000000001</v>
      </c>
      <c r="B50">
        <v>5.9999999999999995E-4</v>
      </c>
      <c r="C50">
        <v>0</v>
      </c>
      <c r="D50">
        <v>0.15809999999999999</v>
      </c>
      <c r="L50" t="s">
        <v>9</v>
      </c>
      <c r="M50">
        <v>2.9000000000000001E-2</v>
      </c>
      <c r="N50">
        <v>8.0999999999999996E-3</v>
      </c>
      <c r="O50">
        <v>0.46350000000000002</v>
      </c>
    </row>
    <row r="51" spans="1:15" x14ac:dyDescent="0.25">
      <c r="A51">
        <v>29.732800000000001</v>
      </c>
      <c r="B51">
        <v>6.9999999999999999E-4</v>
      </c>
      <c r="C51">
        <v>0</v>
      </c>
      <c r="D51">
        <v>0.159</v>
      </c>
      <c r="L51" t="s">
        <v>10</v>
      </c>
      <c r="M51">
        <v>7.4399999999999994E-2</v>
      </c>
      <c r="N51">
        <v>2.9700000000000001E-2</v>
      </c>
      <c r="O51">
        <v>0.51870000000000005</v>
      </c>
    </row>
    <row r="52" spans="1:15" x14ac:dyDescent="0.25">
      <c r="A52">
        <v>29.929300000000001</v>
      </c>
      <c r="B52">
        <v>6.9999999999999999E-4</v>
      </c>
      <c r="C52">
        <v>0</v>
      </c>
      <c r="D52">
        <v>0.16</v>
      </c>
      <c r="L52" t="s">
        <v>11</v>
      </c>
      <c r="M52">
        <v>0.1113</v>
      </c>
      <c r="N52">
        <v>5.4399999999999997E-2</v>
      </c>
      <c r="O52">
        <v>0.55779999999999996</v>
      </c>
    </row>
    <row r="53" spans="1:15" x14ac:dyDescent="0.25">
      <c r="A53">
        <v>30.125699999999998</v>
      </c>
      <c r="B53">
        <v>6.9999999999999999E-4</v>
      </c>
      <c r="C53">
        <v>0</v>
      </c>
      <c r="D53">
        <v>0.16120000000000001</v>
      </c>
      <c r="L53" t="s">
        <v>12</v>
      </c>
      <c r="M53">
        <v>0.125</v>
      </c>
      <c r="N53">
        <v>6.6400000000000001E-2</v>
      </c>
      <c r="O53">
        <v>0.5786</v>
      </c>
    </row>
    <row r="54" spans="1:15" x14ac:dyDescent="0.25">
      <c r="A54">
        <v>30.322199999999999</v>
      </c>
      <c r="B54">
        <v>6.9999999999999999E-4</v>
      </c>
      <c r="C54">
        <v>0</v>
      </c>
      <c r="D54">
        <v>0.16250000000000001</v>
      </c>
      <c r="F54">
        <f>B54</f>
        <v>6.9999999999999999E-4</v>
      </c>
      <c r="G54">
        <f t="shared" ref="G54:H54" si="0">C54</f>
        <v>0</v>
      </c>
      <c r="H54">
        <f t="shared" si="0"/>
        <v>0.16250000000000001</v>
      </c>
    </row>
    <row r="55" spans="1:15" x14ac:dyDescent="0.25">
      <c r="A55">
        <v>30.518599999999999</v>
      </c>
      <c r="B55">
        <v>6.9999999999999999E-4</v>
      </c>
      <c r="C55">
        <v>0</v>
      </c>
      <c r="D55">
        <v>0.1638</v>
      </c>
    </row>
    <row r="56" spans="1:15" x14ac:dyDescent="0.25">
      <c r="A56">
        <v>30.7151</v>
      </c>
      <c r="B56">
        <v>6.9999999999999999E-4</v>
      </c>
      <c r="C56">
        <v>0</v>
      </c>
      <c r="D56">
        <v>0.1651</v>
      </c>
    </row>
    <row r="57" spans="1:15" x14ac:dyDescent="0.25">
      <c r="A57">
        <v>30.89</v>
      </c>
      <c r="B57">
        <v>6.9999999999999999E-4</v>
      </c>
      <c r="C57">
        <v>0</v>
      </c>
      <c r="D57">
        <v>0.1663</v>
      </c>
    </row>
    <row r="58" spans="1:15" x14ac:dyDescent="0.25">
      <c r="A58">
        <v>31.064900000000002</v>
      </c>
      <c r="B58">
        <v>6.9999999999999999E-4</v>
      </c>
      <c r="C58">
        <v>0</v>
      </c>
      <c r="D58">
        <v>0.16750000000000001</v>
      </c>
    </row>
    <row r="59" spans="1:15" x14ac:dyDescent="0.25">
      <c r="A59">
        <v>31.239799999999999</v>
      </c>
      <c r="B59">
        <v>8.0000000000000004E-4</v>
      </c>
      <c r="C59">
        <v>0</v>
      </c>
      <c r="D59">
        <v>0.1686</v>
      </c>
    </row>
    <row r="60" spans="1:15" x14ac:dyDescent="0.25">
      <c r="A60">
        <v>31.4148</v>
      </c>
      <c r="B60">
        <v>8.0000000000000004E-4</v>
      </c>
      <c r="C60">
        <v>0</v>
      </c>
      <c r="D60">
        <v>0.16980000000000001</v>
      </c>
    </row>
    <row r="61" spans="1:15" x14ac:dyDescent="0.25">
      <c r="A61">
        <v>32.289299999999997</v>
      </c>
      <c r="B61">
        <v>8.0000000000000004E-4</v>
      </c>
      <c r="C61">
        <v>0</v>
      </c>
      <c r="D61">
        <v>0.17549999999999999</v>
      </c>
    </row>
    <row r="62" spans="1:15" x14ac:dyDescent="0.25">
      <c r="A62">
        <v>33.163899999999998</v>
      </c>
      <c r="B62">
        <v>8.9999999999999998E-4</v>
      </c>
      <c r="C62">
        <v>1E-4</v>
      </c>
      <c r="D62">
        <v>0.1812</v>
      </c>
    </row>
    <row r="63" spans="1:15" x14ac:dyDescent="0.25">
      <c r="A63">
        <v>34.038400000000003</v>
      </c>
      <c r="B63">
        <v>8.9999999999999998E-4</v>
      </c>
      <c r="C63">
        <v>1E-4</v>
      </c>
      <c r="D63">
        <v>0.18690000000000001</v>
      </c>
    </row>
    <row r="64" spans="1:15" x14ac:dyDescent="0.25">
      <c r="A64">
        <v>34.912999999999997</v>
      </c>
      <c r="B64">
        <v>1E-3</v>
      </c>
      <c r="C64">
        <v>1E-4</v>
      </c>
      <c r="D64">
        <v>0.1925</v>
      </c>
    </row>
    <row r="65" spans="1:4" x14ac:dyDescent="0.25">
      <c r="A65">
        <v>35.697699999999998</v>
      </c>
      <c r="B65">
        <v>1.1000000000000001E-3</v>
      </c>
      <c r="C65">
        <v>1E-4</v>
      </c>
      <c r="D65">
        <v>0.19750000000000001</v>
      </c>
    </row>
    <row r="66" spans="1:4" x14ac:dyDescent="0.25">
      <c r="A66">
        <v>36.482500000000002</v>
      </c>
      <c r="B66">
        <v>1.1000000000000001E-3</v>
      </c>
      <c r="C66">
        <v>1E-4</v>
      </c>
      <c r="D66">
        <v>0.2024</v>
      </c>
    </row>
    <row r="67" spans="1:4" x14ac:dyDescent="0.25">
      <c r="A67">
        <v>37.267299999999999</v>
      </c>
      <c r="B67">
        <v>1.1999999999999999E-3</v>
      </c>
      <c r="C67">
        <v>1E-4</v>
      </c>
      <c r="D67">
        <v>0.2074</v>
      </c>
    </row>
    <row r="68" spans="1:4" x14ac:dyDescent="0.25">
      <c r="A68">
        <v>38.052</v>
      </c>
      <c r="B68">
        <v>1.2999999999999999E-3</v>
      </c>
      <c r="C68">
        <v>1E-4</v>
      </c>
      <c r="D68">
        <v>0.21229999999999999</v>
      </c>
    </row>
    <row r="69" spans="1:4" x14ac:dyDescent="0.25">
      <c r="A69">
        <v>38.836799999999997</v>
      </c>
      <c r="B69">
        <v>1.4E-3</v>
      </c>
      <c r="C69">
        <v>1E-4</v>
      </c>
      <c r="D69">
        <v>0.2172</v>
      </c>
    </row>
    <row r="70" spans="1:4" x14ac:dyDescent="0.25">
      <c r="A70">
        <v>39.621499999999997</v>
      </c>
      <c r="B70">
        <v>1.5E-3</v>
      </c>
      <c r="C70">
        <v>1E-4</v>
      </c>
      <c r="D70">
        <v>0.222</v>
      </c>
    </row>
    <row r="71" spans="1:4" x14ac:dyDescent="0.25">
      <c r="A71">
        <v>40.406300000000002</v>
      </c>
      <c r="B71">
        <v>1.6000000000000001E-3</v>
      </c>
      <c r="C71">
        <v>1E-4</v>
      </c>
      <c r="D71">
        <v>0.2268</v>
      </c>
    </row>
    <row r="72" spans="1:4" x14ac:dyDescent="0.25">
      <c r="A72">
        <v>41.191099999999999</v>
      </c>
      <c r="B72">
        <v>1.6000000000000001E-3</v>
      </c>
      <c r="C72">
        <v>1E-4</v>
      </c>
      <c r="D72">
        <v>0.2316</v>
      </c>
    </row>
    <row r="73" spans="1:4" x14ac:dyDescent="0.25">
      <c r="A73">
        <v>41.941299999999998</v>
      </c>
      <c r="B73">
        <v>1.6999999999999999E-3</v>
      </c>
      <c r="C73">
        <v>1E-4</v>
      </c>
      <c r="D73">
        <v>0.2361</v>
      </c>
    </row>
    <row r="74" spans="1:4" x14ac:dyDescent="0.25">
      <c r="A74">
        <v>42.691400000000002</v>
      </c>
      <c r="B74">
        <v>1.8E-3</v>
      </c>
      <c r="C74">
        <v>2.0000000000000001E-4</v>
      </c>
      <c r="D74">
        <v>0.24060000000000001</v>
      </c>
    </row>
    <row r="75" spans="1:4" x14ac:dyDescent="0.25">
      <c r="A75">
        <v>43.441600000000001</v>
      </c>
      <c r="B75">
        <v>1.9E-3</v>
      </c>
      <c r="C75">
        <v>2.0000000000000001E-4</v>
      </c>
      <c r="D75">
        <v>0.24510000000000001</v>
      </c>
    </row>
    <row r="76" spans="1:4" x14ac:dyDescent="0.25">
      <c r="A76">
        <v>44.191800000000001</v>
      </c>
      <c r="B76">
        <v>2.0999999999999999E-3</v>
      </c>
      <c r="C76">
        <v>2.0000000000000001E-4</v>
      </c>
      <c r="D76">
        <v>0.24959999999999999</v>
      </c>
    </row>
    <row r="77" spans="1:4" x14ac:dyDescent="0.25">
      <c r="A77">
        <v>44.881399999999999</v>
      </c>
      <c r="B77">
        <v>2.2000000000000001E-3</v>
      </c>
      <c r="C77">
        <v>2.0000000000000001E-4</v>
      </c>
      <c r="D77">
        <v>0.25359999999999999</v>
      </c>
    </row>
    <row r="78" spans="1:4" x14ac:dyDescent="0.25">
      <c r="A78">
        <v>45.570900000000002</v>
      </c>
      <c r="B78">
        <v>2.3E-3</v>
      </c>
      <c r="C78">
        <v>2.0000000000000001E-4</v>
      </c>
      <c r="D78">
        <v>0.25769999999999998</v>
      </c>
    </row>
    <row r="79" spans="1:4" x14ac:dyDescent="0.25">
      <c r="A79">
        <v>46.2605</v>
      </c>
      <c r="B79">
        <v>2.3999999999999998E-3</v>
      </c>
      <c r="C79">
        <v>2.0000000000000001E-4</v>
      </c>
      <c r="D79">
        <v>0.26169999999999999</v>
      </c>
    </row>
    <row r="80" spans="1:4" x14ac:dyDescent="0.25">
      <c r="A80">
        <v>46.950099999999999</v>
      </c>
      <c r="B80">
        <v>2.5000000000000001E-3</v>
      </c>
      <c r="C80">
        <v>2.0000000000000001E-4</v>
      </c>
      <c r="D80">
        <v>0.26569999999999999</v>
      </c>
    </row>
    <row r="81" spans="1:4" x14ac:dyDescent="0.25">
      <c r="A81">
        <v>47.624699999999997</v>
      </c>
      <c r="B81">
        <v>2.5999999999999999E-3</v>
      </c>
      <c r="C81">
        <v>2.9999999999999997E-4</v>
      </c>
      <c r="D81">
        <v>0.26960000000000001</v>
      </c>
    </row>
    <row r="82" spans="1:4" x14ac:dyDescent="0.25">
      <c r="A82">
        <v>48.299300000000002</v>
      </c>
      <c r="B82">
        <v>2.8E-3</v>
      </c>
      <c r="C82">
        <v>2.9999999999999997E-4</v>
      </c>
      <c r="D82">
        <v>0.27339999999999998</v>
      </c>
    </row>
    <row r="83" spans="1:4" x14ac:dyDescent="0.25">
      <c r="A83">
        <v>48.9739</v>
      </c>
      <c r="B83">
        <v>2.8999999999999998E-3</v>
      </c>
      <c r="C83">
        <v>2.9999999999999997E-4</v>
      </c>
      <c r="D83">
        <v>0.27729999999999999</v>
      </c>
    </row>
    <row r="84" spans="1:4" x14ac:dyDescent="0.25">
      <c r="A84">
        <v>49.648600000000002</v>
      </c>
      <c r="B84">
        <v>3.0000000000000001E-3</v>
      </c>
      <c r="C84">
        <v>2.9999999999999997E-4</v>
      </c>
      <c r="D84">
        <v>0.28110000000000002</v>
      </c>
    </row>
    <row r="85" spans="1:4" x14ac:dyDescent="0.25">
      <c r="A85">
        <v>50.3645</v>
      </c>
      <c r="B85">
        <v>3.2000000000000002E-3</v>
      </c>
      <c r="C85">
        <v>4.0000000000000002E-4</v>
      </c>
      <c r="D85">
        <v>0.28510000000000002</v>
      </c>
    </row>
    <row r="86" spans="1:4" x14ac:dyDescent="0.25">
      <c r="A86">
        <v>51.080500000000001</v>
      </c>
      <c r="B86">
        <v>3.3E-3</v>
      </c>
      <c r="C86">
        <v>4.0000000000000002E-4</v>
      </c>
      <c r="D86">
        <v>0.28910000000000002</v>
      </c>
    </row>
    <row r="87" spans="1:4" x14ac:dyDescent="0.25">
      <c r="A87">
        <v>51.796500000000002</v>
      </c>
      <c r="B87">
        <v>3.5000000000000001E-3</v>
      </c>
      <c r="C87">
        <v>4.0000000000000002E-4</v>
      </c>
      <c r="D87">
        <v>0.29310000000000003</v>
      </c>
    </row>
    <row r="88" spans="1:4" x14ac:dyDescent="0.25">
      <c r="A88">
        <v>52.512500000000003</v>
      </c>
      <c r="B88">
        <v>3.7000000000000002E-3</v>
      </c>
      <c r="C88">
        <v>4.0000000000000002E-4</v>
      </c>
      <c r="D88">
        <v>0.29709999999999998</v>
      </c>
    </row>
    <row r="89" spans="1:4" x14ac:dyDescent="0.25">
      <c r="A89">
        <v>53.269599999999997</v>
      </c>
      <c r="B89">
        <v>3.8999999999999998E-3</v>
      </c>
      <c r="C89">
        <v>5.0000000000000001E-4</v>
      </c>
      <c r="D89">
        <v>0.30120000000000002</v>
      </c>
    </row>
    <row r="90" spans="1:4" x14ac:dyDescent="0.25">
      <c r="A90">
        <v>54.026600000000002</v>
      </c>
      <c r="B90">
        <v>4.0000000000000001E-3</v>
      </c>
      <c r="C90">
        <v>5.0000000000000001E-4</v>
      </c>
      <c r="D90">
        <v>0.30530000000000002</v>
      </c>
    </row>
    <row r="91" spans="1:4" x14ac:dyDescent="0.25">
      <c r="A91">
        <v>54.783700000000003</v>
      </c>
      <c r="B91">
        <v>4.3E-3</v>
      </c>
      <c r="C91">
        <v>5.0000000000000001E-4</v>
      </c>
      <c r="D91">
        <v>0.30940000000000001</v>
      </c>
    </row>
    <row r="92" spans="1:4" x14ac:dyDescent="0.25">
      <c r="A92">
        <v>55.540700000000001</v>
      </c>
      <c r="B92">
        <v>4.4999999999999997E-3</v>
      </c>
      <c r="C92">
        <v>5.9999999999999995E-4</v>
      </c>
      <c r="D92">
        <v>0.3135</v>
      </c>
    </row>
    <row r="93" spans="1:4" x14ac:dyDescent="0.25">
      <c r="A93">
        <v>56.286700000000003</v>
      </c>
      <c r="B93">
        <v>4.7000000000000002E-3</v>
      </c>
      <c r="C93">
        <v>5.9999999999999995E-4</v>
      </c>
      <c r="D93">
        <v>0.3175</v>
      </c>
    </row>
    <row r="94" spans="1:4" x14ac:dyDescent="0.25">
      <c r="A94">
        <v>57.032600000000002</v>
      </c>
      <c r="B94">
        <v>4.8999999999999998E-3</v>
      </c>
      <c r="C94">
        <v>6.9999999999999999E-4</v>
      </c>
      <c r="D94">
        <v>0.32140000000000002</v>
      </c>
    </row>
    <row r="95" spans="1:4" x14ac:dyDescent="0.25">
      <c r="A95">
        <v>57.778599999999997</v>
      </c>
      <c r="B95">
        <v>5.1000000000000004E-3</v>
      </c>
      <c r="C95">
        <v>6.9999999999999999E-4</v>
      </c>
      <c r="D95">
        <v>0.32540000000000002</v>
      </c>
    </row>
    <row r="96" spans="1:4" x14ac:dyDescent="0.25">
      <c r="A96">
        <v>58.524500000000003</v>
      </c>
      <c r="B96">
        <v>5.4000000000000003E-3</v>
      </c>
      <c r="C96">
        <v>8.0000000000000004E-4</v>
      </c>
      <c r="D96">
        <v>0.32929999999999998</v>
      </c>
    </row>
    <row r="97" spans="1:8" x14ac:dyDescent="0.25">
      <c r="A97">
        <v>59.228900000000003</v>
      </c>
      <c r="B97">
        <v>5.5999999999999999E-3</v>
      </c>
      <c r="C97">
        <v>8.0000000000000004E-4</v>
      </c>
      <c r="D97">
        <v>0.33300000000000002</v>
      </c>
    </row>
    <row r="98" spans="1:8" x14ac:dyDescent="0.25">
      <c r="A98">
        <v>59.933199999999999</v>
      </c>
      <c r="B98">
        <v>5.8999999999999999E-3</v>
      </c>
      <c r="C98">
        <v>8.9999999999999998E-4</v>
      </c>
      <c r="D98">
        <v>0.33660000000000001</v>
      </c>
    </row>
    <row r="99" spans="1:8" x14ac:dyDescent="0.25">
      <c r="A99">
        <v>60.637599999999999</v>
      </c>
      <c r="B99">
        <v>6.1000000000000004E-3</v>
      </c>
      <c r="C99">
        <v>8.9999999999999998E-4</v>
      </c>
      <c r="D99">
        <v>0.34</v>
      </c>
      <c r="F99">
        <f>B99</f>
        <v>6.1000000000000004E-3</v>
      </c>
      <c r="G99">
        <f t="shared" ref="G99:H99" si="1">C99</f>
        <v>8.9999999999999998E-4</v>
      </c>
      <c r="H99">
        <f t="shared" si="1"/>
        <v>0.34</v>
      </c>
    </row>
    <row r="100" spans="1:8" x14ac:dyDescent="0.25">
      <c r="A100">
        <v>61.341999999999999</v>
      </c>
      <c r="B100">
        <v>6.4000000000000003E-3</v>
      </c>
      <c r="C100">
        <v>1E-3</v>
      </c>
      <c r="D100">
        <v>0.34329999999999999</v>
      </c>
    </row>
    <row r="101" spans="1:8" x14ac:dyDescent="0.25">
      <c r="A101">
        <v>61.958799999999997</v>
      </c>
      <c r="B101">
        <v>6.7000000000000002E-3</v>
      </c>
      <c r="C101">
        <v>1E-3</v>
      </c>
      <c r="D101">
        <v>0.34620000000000001</v>
      </c>
    </row>
    <row r="102" spans="1:8" x14ac:dyDescent="0.25">
      <c r="A102">
        <v>62.575699999999998</v>
      </c>
      <c r="B102">
        <v>6.8999999999999999E-3</v>
      </c>
      <c r="C102">
        <v>1.1000000000000001E-3</v>
      </c>
      <c r="D102">
        <v>0.34910000000000002</v>
      </c>
    </row>
    <row r="103" spans="1:8" x14ac:dyDescent="0.25">
      <c r="A103">
        <v>63.192500000000003</v>
      </c>
      <c r="B103">
        <v>7.1999999999999998E-3</v>
      </c>
      <c r="C103">
        <v>1.1000000000000001E-3</v>
      </c>
      <c r="D103">
        <v>0.35199999999999998</v>
      </c>
    </row>
    <row r="104" spans="1:8" x14ac:dyDescent="0.25">
      <c r="A104">
        <v>63.8093</v>
      </c>
      <c r="B104">
        <v>7.4000000000000003E-3</v>
      </c>
      <c r="C104">
        <v>1.1999999999999999E-3</v>
      </c>
      <c r="D104">
        <v>0.3548</v>
      </c>
    </row>
    <row r="105" spans="1:8" x14ac:dyDescent="0.25">
      <c r="A105">
        <v>64.519199999999998</v>
      </c>
      <c r="B105">
        <v>7.7999999999999996E-3</v>
      </c>
      <c r="C105">
        <v>1.2999999999999999E-3</v>
      </c>
      <c r="D105">
        <v>0.35809999999999997</v>
      </c>
    </row>
    <row r="106" spans="1:8" x14ac:dyDescent="0.25">
      <c r="A106">
        <v>65.229100000000003</v>
      </c>
      <c r="B106">
        <v>8.0999999999999996E-3</v>
      </c>
      <c r="C106">
        <v>1.2999999999999999E-3</v>
      </c>
      <c r="D106">
        <v>0.36130000000000001</v>
      </c>
    </row>
    <row r="107" spans="1:8" x14ac:dyDescent="0.25">
      <c r="A107">
        <v>65.938999999999993</v>
      </c>
      <c r="B107">
        <v>8.3999999999999995E-3</v>
      </c>
      <c r="C107">
        <v>1.4E-3</v>
      </c>
      <c r="D107">
        <v>0.36449999999999999</v>
      </c>
    </row>
    <row r="108" spans="1:8" x14ac:dyDescent="0.25">
      <c r="A108">
        <v>66.648899999999998</v>
      </c>
      <c r="B108">
        <v>8.8000000000000005E-3</v>
      </c>
      <c r="C108">
        <v>1.5E-3</v>
      </c>
      <c r="D108">
        <v>0.36770000000000003</v>
      </c>
    </row>
    <row r="109" spans="1:8" x14ac:dyDescent="0.25">
      <c r="A109">
        <v>67.417100000000005</v>
      </c>
      <c r="B109">
        <v>9.1999999999999998E-3</v>
      </c>
      <c r="C109">
        <v>1.6000000000000001E-3</v>
      </c>
      <c r="D109">
        <v>0.37109999999999999</v>
      </c>
    </row>
    <row r="110" spans="1:8" x14ac:dyDescent="0.25">
      <c r="A110">
        <v>68.185299999999998</v>
      </c>
      <c r="B110">
        <v>9.5999999999999992E-3</v>
      </c>
      <c r="C110">
        <v>1.6999999999999999E-3</v>
      </c>
      <c r="D110">
        <v>0.3745</v>
      </c>
    </row>
    <row r="111" spans="1:8" x14ac:dyDescent="0.25">
      <c r="A111">
        <v>68.953500000000005</v>
      </c>
      <c r="B111">
        <v>0.01</v>
      </c>
      <c r="C111">
        <v>1.8E-3</v>
      </c>
      <c r="D111">
        <v>0.37790000000000001</v>
      </c>
    </row>
    <row r="112" spans="1:8" x14ac:dyDescent="0.25">
      <c r="A112">
        <v>69.721699999999998</v>
      </c>
      <c r="B112">
        <v>1.04E-2</v>
      </c>
      <c r="C112">
        <v>1.9E-3</v>
      </c>
      <c r="D112">
        <v>0.38129999999999997</v>
      </c>
    </row>
    <row r="113" spans="1:4" x14ac:dyDescent="0.25">
      <c r="A113">
        <v>70.454999999999998</v>
      </c>
      <c r="B113">
        <v>1.09E-2</v>
      </c>
      <c r="C113">
        <v>2E-3</v>
      </c>
      <c r="D113">
        <v>0.38440000000000002</v>
      </c>
    </row>
    <row r="114" spans="1:4" x14ac:dyDescent="0.25">
      <c r="A114">
        <v>71.188400000000001</v>
      </c>
      <c r="B114">
        <v>1.1299999999999999E-2</v>
      </c>
      <c r="C114">
        <v>2.2000000000000001E-3</v>
      </c>
      <c r="D114">
        <v>0.3876</v>
      </c>
    </row>
    <row r="115" spans="1:4" x14ac:dyDescent="0.25">
      <c r="A115">
        <v>71.921700000000001</v>
      </c>
      <c r="B115">
        <v>1.18E-2</v>
      </c>
      <c r="C115">
        <v>2.3E-3</v>
      </c>
      <c r="D115">
        <v>0.39069999999999999</v>
      </c>
    </row>
    <row r="116" spans="1:4" x14ac:dyDescent="0.25">
      <c r="A116">
        <v>72.655100000000004</v>
      </c>
      <c r="B116">
        <v>1.2200000000000001E-2</v>
      </c>
      <c r="C116">
        <v>2.3999999999999998E-3</v>
      </c>
      <c r="D116">
        <v>0.39379999999999998</v>
      </c>
    </row>
    <row r="117" spans="1:4" x14ac:dyDescent="0.25">
      <c r="A117">
        <v>73.334400000000002</v>
      </c>
      <c r="B117">
        <v>1.2699999999999999E-2</v>
      </c>
      <c r="C117">
        <v>2.5000000000000001E-3</v>
      </c>
      <c r="D117">
        <v>0.3967</v>
      </c>
    </row>
    <row r="118" spans="1:4" x14ac:dyDescent="0.25">
      <c r="A118">
        <v>74.0137</v>
      </c>
      <c r="B118">
        <v>1.3100000000000001E-2</v>
      </c>
      <c r="C118">
        <v>2.7000000000000001E-3</v>
      </c>
      <c r="D118">
        <v>0.39950000000000002</v>
      </c>
    </row>
    <row r="119" spans="1:4" x14ac:dyDescent="0.25">
      <c r="A119">
        <v>74.692999999999998</v>
      </c>
      <c r="B119">
        <v>1.3599999999999999E-2</v>
      </c>
      <c r="C119">
        <v>2.8E-3</v>
      </c>
      <c r="D119">
        <v>0.40239999999999998</v>
      </c>
    </row>
    <row r="120" spans="1:4" x14ac:dyDescent="0.25">
      <c r="A120">
        <v>75.372399999999999</v>
      </c>
      <c r="B120">
        <v>1.41E-2</v>
      </c>
      <c r="C120">
        <v>2.8999999999999998E-3</v>
      </c>
      <c r="D120">
        <v>0.4052</v>
      </c>
    </row>
    <row r="121" spans="1:4" x14ac:dyDescent="0.25">
      <c r="A121">
        <v>76.040000000000006</v>
      </c>
      <c r="B121">
        <v>1.46E-2</v>
      </c>
      <c r="C121">
        <v>3.0999999999999999E-3</v>
      </c>
      <c r="D121">
        <v>0.40789999999999998</v>
      </c>
    </row>
    <row r="122" spans="1:4" x14ac:dyDescent="0.25">
      <c r="A122">
        <v>76.707599999999999</v>
      </c>
      <c r="B122">
        <v>1.5100000000000001E-2</v>
      </c>
      <c r="C122">
        <v>3.2000000000000002E-3</v>
      </c>
      <c r="D122">
        <v>0.41060000000000002</v>
      </c>
    </row>
    <row r="123" spans="1:4" x14ac:dyDescent="0.25">
      <c r="A123">
        <v>77.375200000000007</v>
      </c>
      <c r="B123">
        <v>1.5599999999999999E-2</v>
      </c>
      <c r="C123">
        <v>3.3999999999999998E-3</v>
      </c>
      <c r="D123">
        <v>0.4133</v>
      </c>
    </row>
    <row r="124" spans="1:4" x14ac:dyDescent="0.25">
      <c r="A124">
        <v>78.0428</v>
      </c>
      <c r="B124">
        <v>1.61E-2</v>
      </c>
      <c r="C124">
        <v>3.5999999999999999E-3</v>
      </c>
      <c r="D124">
        <v>0.41599999999999998</v>
      </c>
    </row>
    <row r="125" spans="1:4" x14ac:dyDescent="0.25">
      <c r="A125">
        <v>78.730099999999993</v>
      </c>
      <c r="B125">
        <v>1.67E-2</v>
      </c>
      <c r="C125">
        <v>3.7000000000000002E-3</v>
      </c>
      <c r="D125">
        <v>0.41870000000000002</v>
      </c>
    </row>
    <row r="126" spans="1:4" x14ac:dyDescent="0.25">
      <c r="A126">
        <v>79.417400000000001</v>
      </c>
      <c r="B126">
        <v>1.7299999999999999E-2</v>
      </c>
      <c r="C126">
        <v>3.8999999999999998E-3</v>
      </c>
      <c r="D126">
        <v>0.42149999999999999</v>
      </c>
    </row>
    <row r="127" spans="1:4" x14ac:dyDescent="0.25">
      <c r="A127">
        <v>80.104600000000005</v>
      </c>
      <c r="B127">
        <v>1.7899999999999999E-2</v>
      </c>
      <c r="C127">
        <v>4.1000000000000003E-3</v>
      </c>
      <c r="D127">
        <v>0.42420000000000002</v>
      </c>
    </row>
    <row r="128" spans="1:4" x14ac:dyDescent="0.25">
      <c r="A128">
        <v>80.791899999999998</v>
      </c>
      <c r="B128">
        <v>1.8499999999999999E-2</v>
      </c>
      <c r="C128">
        <v>4.3E-3</v>
      </c>
      <c r="D128">
        <v>0.42680000000000001</v>
      </c>
    </row>
    <row r="129" spans="1:8" x14ac:dyDescent="0.25">
      <c r="A129">
        <v>81.486500000000007</v>
      </c>
      <c r="B129">
        <v>1.9099999999999999E-2</v>
      </c>
      <c r="C129">
        <v>4.4999999999999997E-3</v>
      </c>
      <c r="D129">
        <v>0.42949999999999999</v>
      </c>
    </row>
    <row r="130" spans="1:8" x14ac:dyDescent="0.25">
      <c r="A130">
        <v>82.180999999999997</v>
      </c>
      <c r="B130">
        <v>1.9699999999999999E-2</v>
      </c>
      <c r="C130">
        <v>4.7000000000000002E-3</v>
      </c>
      <c r="D130">
        <v>0.43219999999999997</v>
      </c>
    </row>
    <row r="131" spans="1:8" x14ac:dyDescent="0.25">
      <c r="A131">
        <v>82.875600000000006</v>
      </c>
      <c r="B131">
        <v>2.0400000000000001E-2</v>
      </c>
      <c r="C131">
        <v>4.8999999999999998E-3</v>
      </c>
      <c r="D131">
        <v>0.43480000000000002</v>
      </c>
    </row>
    <row r="132" spans="1:8" x14ac:dyDescent="0.25">
      <c r="A132">
        <v>83.5702</v>
      </c>
      <c r="B132">
        <v>2.1000000000000001E-2</v>
      </c>
      <c r="C132">
        <v>5.1000000000000004E-3</v>
      </c>
      <c r="D132">
        <v>0.4375</v>
      </c>
    </row>
    <row r="133" spans="1:8" x14ac:dyDescent="0.25">
      <c r="A133">
        <v>84.252700000000004</v>
      </c>
      <c r="B133">
        <v>2.1700000000000001E-2</v>
      </c>
      <c r="C133">
        <v>5.4000000000000003E-3</v>
      </c>
      <c r="D133">
        <v>0.44</v>
      </c>
    </row>
    <row r="134" spans="1:8" x14ac:dyDescent="0.25">
      <c r="A134">
        <v>84.935100000000006</v>
      </c>
      <c r="B134">
        <v>2.24E-2</v>
      </c>
      <c r="C134">
        <v>5.5999999999999999E-3</v>
      </c>
      <c r="D134">
        <v>0.44259999999999999</v>
      </c>
    </row>
    <row r="135" spans="1:8" x14ac:dyDescent="0.25">
      <c r="A135">
        <v>85.617599999999996</v>
      </c>
      <c r="B135">
        <v>2.3099999999999999E-2</v>
      </c>
      <c r="C135">
        <v>5.8999999999999999E-3</v>
      </c>
      <c r="D135">
        <v>0.4451</v>
      </c>
    </row>
    <row r="136" spans="1:8" x14ac:dyDescent="0.25">
      <c r="A136">
        <v>86.3</v>
      </c>
      <c r="B136">
        <v>2.3800000000000002E-2</v>
      </c>
      <c r="C136">
        <v>6.1000000000000004E-3</v>
      </c>
      <c r="D136">
        <v>0.4476</v>
      </c>
    </row>
    <row r="137" spans="1:8" x14ac:dyDescent="0.25">
      <c r="A137">
        <v>86.97</v>
      </c>
      <c r="B137">
        <v>2.4500000000000001E-2</v>
      </c>
      <c r="C137">
        <v>6.4000000000000003E-3</v>
      </c>
      <c r="D137">
        <v>0.45</v>
      </c>
    </row>
    <row r="138" spans="1:8" x14ac:dyDescent="0.25">
      <c r="A138">
        <v>87.640100000000004</v>
      </c>
      <c r="B138">
        <v>2.52E-2</v>
      </c>
      <c r="C138">
        <v>6.6E-3</v>
      </c>
      <c r="D138">
        <v>0.45240000000000002</v>
      </c>
    </row>
    <row r="139" spans="1:8" x14ac:dyDescent="0.25">
      <c r="A139">
        <v>88.310100000000006</v>
      </c>
      <c r="B139">
        <v>2.5999999999999999E-2</v>
      </c>
      <c r="C139">
        <v>6.8999999999999999E-3</v>
      </c>
      <c r="D139">
        <v>0.45479999999999998</v>
      </c>
    </row>
    <row r="140" spans="1:8" x14ac:dyDescent="0.25">
      <c r="A140">
        <v>88.980199999999996</v>
      </c>
      <c r="B140">
        <v>2.6700000000000002E-2</v>
      </c>
      <c r="C140">
        <v>7.1999999999999998E-3</v>
      </c>
      <c r="D140">
        <v>0.4572</v>
      </c>
    </row>
    <row r="141" spans="1:8" x14ac:dyDescent="0.25">
      <c r="A141">
        <v>89.646500000000003</v>
      </c>
      <c r="B141">
        <v>2.75E-2</v>
      </c>
      <c r="C141">
        <v>7.4999999999999997E-3</v>
      </c>
      <c r="D141">
        <v>0.4597</v>
      </c>
    </row>
    <row r="142" spans="1:8" x14ac:dyDescent="0.25">
      <c r="A142">
        <v>90.312799999999996</v>
      </c>
      <c r="B142">
        <v>2.8199999999999999E-2</v>
      </c>
      <c r="C142">
        <v>7.7999999999999996E-3</v>
      </c>
      <c r="D142">
        <v>0.46189999999999998</v>
      </c>
    </row>
    <row r="143" spans="1:8" x14ac:dyDescent="0.25">
      <c r="A143">
        <v>90.979100000000003</v>
      </c>
      <c r="B143">
        <v>2.9000000000000001E-2</v>
      </c>
      <c r="C143">
        <v>8.0999999999999996E-3</v>
      </c>
      <c r="D143">
        <v>0.46350000000000002</v>
      </c>
      <c r="F143">
        <f>B143</f>
        <v>2.9000000000000001E-2</v>
      </c>
      <c r="G143">
        <f t="shared" ref="G143:H143" si="2">C143</f>
        <v>8.0999999999999996E-3</v>
      </c>
      <c r="H143">
        <f t="shared" si="2"/>
        <v>0.46350000000000002</v>
      </c>
    </row>
    <row r="144" spans="1:8" x14ac:dyDescent="0.25">
      <c r="A144">
        <v>91.645399999999995</v>
      </c>
      <c r="B144">
        <v>2.98E-2</v>
      </c>
      <c r="C144">
        <v>8.3999999999999995E-3</v>
      </c>
      <c r="D144">
        <v>0.46489999999999998</v>
      </c>
    </row>
    <row r="145" spans="1:4" x14ac:dyDescent="0.25">
      <c r="A145">
        <v>92.302199999999999</v>
      </c>
      <c r="B145">
        <v>3.0599999999999999E-2</v>
      </c>
      <c r="C145">
        <v>8.6999999999999994E-3</v>
      </c>
      <c r="D145">
        <v>0.46629999999999999</v>
      </c>
    </row>
    <row r="146" spans="1:4" x14ac:dyDescent="0.25">
      <c r="A146">
        <v>92.9589</v>
      </c>
      <c r="B146">
        <v>3.1399999999999997E-2</v>
      </c>
      <c r="C146">
        <v>9.1000000000000004E-3</v>
      </c>
      <c r="D146">
        <v>0.46760000000000002</v>
      </c>
    </row>
    <row r="147" spans="1:4" x14ac:dyDescent="0.25">
      <c r="A147">
        <v>93.615700000000004</v>
      </c>
      <c r="B147">
        <v>3.2300000000000002E-2</v>
      </c>
      <c r="C147">
        <v>9.4000000000000004E-3</v>
      </c>
      <c r="D147">
        <v>0.46899999999999997</v>
      </c>
    </row>
    <row r="148" spans="1:4" x14ac:dyDescent="0.25">
      <c r="A148">
        <v>94.272400000000005</v>
      </c>
      <c r="B148">
        <v>3.3099999999999997E-2</v>
      </c>
      <c r="C148">
        <v>9.7000000000000003E-3</v>
      </c>
      <c r="D148">
        <v>0.47039999999999998</v>
      </c>
    </row>
    <row r="149" spans="1:4" x14ac:dyDescent="0.25">
      <c r="A149">
        <v>95.013900000000007</v>
      </c>
      <c r="B149">
        <v>3.4099999999999998E-2</v>
      </c>
      <c r="C149">
        <v>1.01E-2</v>
      </c>
      <c r="D149">
        <v>0.47189999999999999</v>
      </c>
    </row>
    <row r="150" spans="1:4" x14ac:dyDescent="0.25">
      <c r="A150">
        <v>95.755300000000005</v>
      </c>
      <c r="B150">
        <v>3.5099999999999999E-2</v>
      </c>
      <c r="C150">
        <v>1.0500000000000001E-2</v>
      </c>
      <c r="D150">
        <v>0.47339999999999999</v>
      </c>
    </row>
    <row r="151" spans="1:4" x14ac:dyDescent="0.25">
      <c r="A151">
        <v>96.496700000000004</v>
      </c>
      <c r="B151">
        <v>3.61E-2</v>
      </c>
      <c r="C151">
        <v>1.09E-2</v>
      </c>
      <c r="D151">
        <v>0.47489999999999999</v>
      </c>
    </row>
    <row r="152" spans="1:4" x14ac:dyDescent="0.25">
      <c r="A152">
        <v>97.238100000000003</v>
      </c>
      <c r="B152">
        <v>3.7100000000000001E-2</v>
      </c>
      <c r="C152">
        <v>1.14E-2</v>
      </c>
      <c r="D152">
        <v>0.47639999999999999</v>
      </c>
    </row>
    <row r="153" spans="1:4" x14ac:dyDescent="0.25">
      <c r="A153">
        <v>97.926000000000002</v>
      </c>
      <c r="B153">
        <v>3.7999999999999999E-2</v>
      </c>
      <c r="C153">
        <v>1.18E-2</v>
      </c>
      <c r="D153">
        <v>0.4778</v>
      </c>
    </row>
    <row r="154" spans="1:4" x14ac:dyDescent="0.25">
      <c r="A154">
        <v>98.613900000000001</v>
      </c>
      <c r="B154">
        <v>3.9E-2</v>
      </c>
      <c r="C154">
        <v>1.2200000000000001E-2</v>
      </c>
      <c r="D154">
        <v>0.47910000000000003</v>
      </c>
    </row>
    <row r="155" spans="1:4" x14ac:dyDescent="0.25">
      <c r="A155">
        <v>99.3018</v>
      </c>
      <c r="B155">
        <v>0.04</v>
      </c>
      <c r="C155">
        <v>1.26E-2</v>
      </c>
      <c r="D155">
        <v>0.48049999999999998</v>
      </c>
    </row>
    <row r="156" spans="1:4" x14ac:dyDescent="0.25">
      <c r="A156">
        <v>99.989699999999999</v>
      </c>
      <c r="B156">
        <v>4.1000000000000002E-2</v>
      </c>
      <c r="C156">
        <v>1.2999999999999999E-2</v>
      </c>
      <c r="D156">
        <v>0.4819</v>
      </c>
    </row>
    <row r="157" spans="1:4" x14ac:dyDescent="0.25">
      <c r="A157">
        <v>100.6345</v>
      </c>
      <c r="B157">
        <v>4.19E-2</v>
      </c>
      <c r="C157">
        <v>1.35E-2</v>
      </c>
      <c r="D157">
        <v>0.48309999999999997</v>
      </c>
    </row>
    <row r="158" spans="1:4" x14ac:dyDescent="0.25">
      <c r="A158">
        <v>101.2792</v>
      </c>
      <c r="B158">
        <v>4.2900000000000001E-2</v>
      </c>
      <c r="C158">
        <v>1.3899999999999999E-2</v>
      </c>
      <c r="D158">
        <v>0.4844</v>
      </c>
    </row>
    <row r="159" spans="1:4" x14ac:dyDescent="0.25">
      <c r="A159">
        <v>101.92400000000001</v>
      </c>
      <c r="B159">
        <v>4.3799999999999999E-2</v>
      </c>
      <c r="C159">
        <v>1.43E-2</v>
      </c>
      <c r="D159">
        <v>0.48559999999999998</v>
      </c>
    </row>
    <row r="160" spans="1:4" x14ac:dyDescent="0.25">
      <c r="A160">
        <v>102.56870000000001</v>
      </c>
      <c r="B160">
        <v>4.48E-2</v>
      </c>
      <c r="C160">
        <v>1.47E-2</v>
      </c>
      <c r="D160">
        <v>0.48680000000000001</v>
      </c>
    </row>
    <row r="161" spans="1:4" x14ac:dyDescent="0.25">
      <c r="A161">
        <v>103.2229</v>
      </c>
      <c r="B161">
        <v>4.58E-2</v>
      </c>
      <c r="C161">
        <v>1.52E-2</v>
      </c>
      <c r="D161">
        <v>0.48809999999999998</v>
      </c>
    </row>
    <row r="162" spans="1:4" x14ac:dyDescent="0.25">
      <c r="A162">
        <v>103.8771</v>
      </c>
      <c r="B162">
        <v>4.6800000000000001E-2</v>
      </c>
      <c r="C162">
        <v>1.5599999999999999E-2</v>
      </c>
      <c r="D162">
        <v>0.48930000000000001</v>
      </c>
    </row>
    <row r="163" spans="1:4" x14ac:dyDescent="0.25">
      <c r="A163">
        <v>104.5313</v>
      </c>
      <c r="B163">
        <v>4.7800000000000002E-2</v>
      </c>
      <c r="C163">
        <v>1.61E-2</v>
      </c>
      <c r="D163">
        <v>0.49049999999999999</v>
      </c>
    </row>
    <row r="164" spans="1:4" x14ac:dyDescent="0.25">
      <c r="A164">
        <v>105.1854</v>
      </c>
      <c r="B164">
        <v>4.8800000000000003E-2</v>
      </c>
      <c r="C164">
        <v>1.66E-2</v>
      </c>
      <c r="D164">
        <v>0.49180000000000001</v>
      </c>
    </row>
    <row r="165" spans="1:4" x14ac:dyDescent="0.25">
      <c r="A165">
        <v>105.86</v>
      </c>
      <c r="B165">
        <v>4.99E-2</v>
      </c>
      <c r="C165">
        <v>1.7100000000000001E-2</v>
      </c>
      <c r="D165">
        <v>0.49299999999999999</v>
      </c>
    </row>
    <row r="166" spans="1:4" x14ac:dyDescent="0.25">
      <c r="A166">
        <v>106.5347</v>
      </c>
      <c r="B166">
        <v>5.0900000000000001E-2</v>
      </c>
      <c r="C166">
        <v>1.7600000000000001E-2</v>
      </c>
      <c r="D166">
        <v>0.49419999999999997</v>
      </c>
    </row>
    <row r="167" spans="1:4" x14ac:dyDescent="0.25">
      <c r="A167">
        <v>107.2093</v>
      </c>
      <c r="B167">
        <v>5.1999999999999998E-2</v>
      </c>
      <c r="C167">
        <v>1.8100000000000002E-2</v>
      </c>
      <c r="D167">
        <v>0.4955</v>
      </c>
    </row>
    <row r="168" spans="1:4" x14ac:dyDescent="0.25">
      <c r="A168">
        <v>107.8839</v>
      </c>
      <c r="B168">
        <v>5.3100000000000001E-2</v>
      </c>
      <c r="C168">
        <v>1.8599999999999998E-2</v>
      </c>
      <c r="D168">
        <v>0.49669999999999997</v>
      </c>
    </row>
    <row r="169" spans="1:4" x14ac:dyDescent="0.25">
      <c r="A169">
        <v>108.5635</v>
      </c>
      <c r="B169">
        <v>5.4199999999999998E-2</v>
      </c>
      <c r="C169">
        <v>1.9099999999999999E-2</v>
      </c>
      <c r="D169">
        <v>0.49790000000000001</v>
      </c>
    </row>
    <row r="170" spans="1:4" x14ac:dyDescent="0.25">
      <c r="A170">
        <v>109.2431</v>
      </c>
      <c r="B170">
        <v>5.5199999999999999E-2</v>
      </c>
      <c r="C170">
        <v>1.9599999999999999E-2</v>
      </c>
      <c r="D170">
        <v>0.49909999999999999</v>
      </c>
    </row>
    <row r="171" spans="1:4" x14ac:dyDescent="0.25">
      <c r="A171">
        <v>109.92270000000001</v>
      </c>
      <c r="B171">
        <v>5.6300000000000003E-2</v>
      </c>
      <c r="C171">
        <v>2.0199999999999999E-2</v>
      </c>
      <c r="D171">
        <v>0.50029999999999997</v>
      </c>
    </row>
    <row r="172" spans="1:4" x14ac:dyDescent="0.25">
      <c r="A172">
        <v>110.6023</v>
      </c>
      <c r="B172">
        <v>5.74E-2</v>
      </c>
      <c r="C172">
        <v>2.07E-2</v>
      </c>
      <c r="D172">
        <v>0.50149999999999995</v>
      </c>
    </row>
    <row r="173" spans="1:4" x14ac:dyDescent="0.25">
      <c r="A173">
        <v>111.2821</v>
      </c>
      <c r="B173">
        <v>5.8500000000000003E-2</v>
      </c>
      <c r="C173">
        <v>2.1299999999999999E-2</v>
      </c>
      <c r="D173">
        <v>0.50270000000000004</v>
      </c>
    </row>
    <row r="174" spans="1:4" x14ac:dyDescent="0.25">
      <c r="A174">
        <v>111.9619</v>
      </c>
      <c r="B174">
        <v>5.9700000000000003E-2</v>
      </c>
      <c r="C174">
        <v>2.18E-2</v>
      </c>
      <c r="D174">
        <v>0.50390000000000001</v>
      </c>
    </row>
    <row r="175" spans="1:4" x14ac:dyDescent="0.25">
      <c r="A175">
        <v>112.6417</v>
      </c>
      <c r="B175">
        <v>6.08E-2</v>
      </c>
      <c r="C175">
        <v>2.24E-2</v>
      </c>
      <c r="D175">
        <v>0.505</v>
      </c>
    </row>
    <row r="176" spans="1:4" x14ac:dyDescent="0.25">
      <c r="A176">
        <v>113.3215</v>
      </c>
      <c r="B176">
        <v>6.1899999999999997E-2</v>
      </c>
      <c r="C176">
        <v>2.3E-2</v>
      </c>
      <c r="D176">
        <v>0.50619999999999998</v>
      </c>
    </row>
    <row r="177" spans="1:8" x14ac:dyDescent="0.25">
      <c r="A177">
        <v>114.0085</v>
      </c>
      <c r="B177">
        <v>6.3E-2</v>
      </c>
      <c r="C177">
        <v>2.35E-2</v>
      </c>
      <c r="D177">
        <v>0.50739999999999996</v>
      </c>
    </row>
    <row r="178" spans="1:8" x14ac:dyDescent="0.25">
      <c r="A178">
        <v>114.6955</v>
      </c>
      <c r="B178">
        <v>6.4100000000000004E-2</v>
      </c>
      <c r="C178">
        <v>2.41E-2</v>
      </c>
      <c r="D178">
        <v>0.50849999999999995</v>
      </c>
    </row>
    <row r="179" spans="1:8" x14ac:dyDescent="0.25">
      <c r="A179">
        <v>115.3824</v>
      </c>
      <c r="B179">
        <v>6.5199999999999994E-2</v>
      </c>
      <c r="C179">
        <v>2.47E-2</v>
      </c>
      <c r="D179">
        <v>0.50970000000000004</v>
      </c>
    </row>
    <row r="180" spans="1:8" x14ac:dyDescent="0.25">
      <c r="A180">
        <v>116.0694</v>
      </c>
      <c r="B180">
        <v>6.6400000000000001E-2</v>
      </c>
      <c r="C180">
        <v>2.53E-2</v>
      </c>
      <c r="D180">
        <v>0.51080000000000003</v>
      </c>
    </row>
    <row r="181" spans="1:8" x14ac:dyDescent="0.25">
      <c r="A181">
        <v>116.77079999999999</v>
      </c>
      <c r="B181">
        <v>6.7500000000000004E-2</v>
      </c>
      <c r="C181">
        <v>2.5899999999999999E-2</v>
      </c>
      <c r="D181">
        <v>0.51190000000000002</v>
      </c>
    </row>
    <row r="182" spans="1:8" x14ac:dyDescent="0.25">
      <c r="A182">
        <v>117.4723</v>
      </c>
      <c r="B182">
        <v>6.8599999999999994E-2</v>
      </c>
      <c r="C182">
        <v>2.6499999999999999E-2</v>
      </c>
      <c r="D182">
        <v>0.5131</v>
      </c>
    </row>
    <row r="183" spans="1:8" x14ac:dyDescent="0.25">
      <c r="A183">
        <v>118.1737</v>
      </c>
      <c r="B183">
        <v>6.9800000000000001E-2</v>
      </c>
      <c r="C183">
        <v>2.7099999999999999E-2</v>
      </c>
      <c r="D183">
        <v>0.51419999999999999</v>
      </c>
    </row>
    <row r="184" spans="1:8" x14ac:dyDescent="0.25">
      <c r="A184">
        <v>118.8751</v>
      </c>
      <c r="B184">
        <v>7.0900000000000005E-2</v>
      </c>
      <c r="C184">
        <v>2.7799999999999998E-2</v>
      </c>
      <c r="D184">
        <v>0.51529999999999998</v>
      </c>
    </row>
    <row r="185" spans="1:8" x14ac:dyDescent="0.25">
      <c r="A185">
        <v>119.5951</v>
      </c>
      <c r="B185">
        <v>7.2099999999999997E-2</v>
      </c>
      <c r="C185">
        <v>2.8400000000000002E-2</v>
      </c>
      <c r="D185">
        <v>0.51649999999999996</v>
      </c>
    </row>
    <row r="186" spans="1:8" x14ac:dyDescent="0.25">
      <c r="A186">
        <v>120.3151</v>
      </c>
      <c r="B186">
        <v>7.3200000000000001E-2</v>
      </c>
      <c r="C186">
        <v>2.9000000000000001E-2</v>
      </c>
      <c r="D186">
        <v>0.51759999999999995</v>
      </c>
      <c r="G186">
        <f>4*365/12</f>
        <v>121.66666666666667</v>
      </c>
    </row>
    <row r="187" spans="1:8" x14ac:dyDescent="0.25">
      <c r="A187">
        <v>121.0351</v>
      </c>
      <c r="B187">
        <v>7.4399999999999994E-2</v>
      </c>
      <c r="C187">
        <v>2.9700000000000001E-2</v>
      </c>
      <c r="D187">
        <v>0.51870000000000005</v>
      </c>
      <c r="F187">
        <f>B187</f>
        <v>7.4399999999999994E-2</v>
      </c>
      <c r="G187">
        <f t="shared" ref="G187:H187" si="3">C187</f>
        <v>2.9700000000000001E-2</v>
      </c>
      <c r="H187">
        <f t="shared" si="3"/>
        <v>0.51870000000000005</v>
      </c>
    </row>
    <row r="188" spans="1:8" x14ac:dyDescent="0.25">
      <c r="A188">
        <v>121.7552</v>
      </c>
      <c r="B188">
        <v>7.5499999999999998E-2</v>
      </c>
      <c r="C188">
        <v>3.0300000000000001E-2</v>
      </c>
      <c r="D188">
        <v>0.51990000000000003</v>
      </c>
    </row>
    <row r="189" spans="1:8" x14ac:dyDescent="0.25">
      <c r="A189">
        <v>122.48909999999999</v>
      </c>
      <c r="B189">
        <v>7.6600000000000001E-2</v>
      </c>
      <c r="C189">
        <v>3.1E-2</v>
      </c>
      <c r="D189">
        <v>0.52100000000000002</v>
      </c>
    </row>
    <row r="190" spans="1:8" x14ac:dyDescent="0.25">
      <c r="A190">
        <v>123.223</v>
      </c>
      <c r="B190">
        <v>7.7799999999999994E-2</v>
      </c>
      <c r="C190">
        <v>3.1600000000000003E-2</v>
      </c>
      <c r="D190">
        <v>0.52210000000000001</v>
      </c>
    </row>
    <row r="191" spans="1:8" x14ac:dyDescent="0.25">
      <c r="A191">
        <v>123.95699999999999</v>
      </c>
      <c r="B191">
        <v>7.8899999999999998E-2</v>
      </c>
      <c r="C191">
        <v>3.2300000000000002E-2</v>
      </c>
      <c r="D191">
        <v>0.5232</v>
      </c>
    </row>
    <row r="192" spans="1:8" x14ac:dyDescent="0.25">
      <c r="A192">
        <v>124.6909</v>
      </c>
      <c r="B192">
        <v>0.08</v>
      </c>
      <c r="C192">
        <v>3.3000000000000002E-2</v>
      </c>
      <c r="D192">
        <v>0.52439999999999998</v>
      </c>
    </row>
    <row r="193" spans="1:4" x14ac:dyDescent="0.25">
      <c r="A193">
        <v>125.41119999999999</v>
      </c>
      <c r="B193">
        <v>8.1100000000000005E-2</v>
      </c>
      <c r="C193">
        <v>3.3599999999999998E-2</v>
      </c>
      <c r="D193">
        <v>0.52539999999999998</v>
      </c>
    </row>
    <row r="194" spans="1:4" x14ac:dyDescent="0.25">
      <c r="A194">
        <v>126.13160000000001</v>
      </c>
      <c r="B194">
        <v>8.2199999999999995E-2</v>
      </c>
      <c r="C194">
        <v>3.4299999999999997E-2</v>
      </c>
      <c r="D194">
        <v>0.52649999999999997</v>
      </c>
    </row>
    <row r="195" spans="1:4" x14ac:dyDescent="0.25">
      <c r="A195">
        <v>126.8519</v>
      </c>
      <c r="B195">
        <v>8.3299999999999999E-2</v>
      </c>
      <c r="C195">
        <v>3.49E-2</v>
      </c>
      <c r="D195">
        <v>0.52749999999999997</v>
      </c>
    </row>
    <row r="196" spans="1:4" x14ac:dyDescent="0.25">
      <c r="A196">
        <v>127.5722</v>
      </c>
      <c r="B196">
        <v>8.43E-2</v>
      </c>
      <c r="C196">
        <v>3.5499999999999997E-2</v>
      </c>
      <c r="D196">
        <v>0.52859999999999996</v>
      </c>
    </row>
    <row r="197" spans="1:4" x14ac:dyDescent="0.25">
      <c r="A197">
        <v>128.3828</v>
      </c>
      <c r="B197">
        <v>8.5500000000000007E-2</v>
      </c>
      <c r="C197">
        <v>3.6299999999999999E-2</v>
      </c>
      <c r="D197">
        <v>0.52969999999999995</v>
      </c>
    </row>
    <row r="198" spans="1:4" x14ac:dyDescent="0.25">
      <c r="A198">
        <v>129.1934</v>
      </c>
      <c r="B198">
        <v>8.6699999999999999E-2</v>
      </c>
      <c r="C198">
        <v>3.6999999999999998E-2</v>
      </c>
      <c r="D198">
        <v>0.53090000000000004</v>
      </c>
    </row>
    <row r="199" spans="1:4" x14ac:dyDescent="0.25">
      <c r="A199">
        <v>130.00399999999999</v>
      </c>
      <c r="B199">
        <v>8.7800000000000003E-2</v>
      </c>
      <c r="C199">
        <v>3.7699999999999997E-2</v>
      </c>
      <c r="D199">
        <v>0.53200000000000003</v>
      </c>
    </row>
    <row r="200" spans="1:4" x14ac:dyDescent="0.25">
      <c r="A200">
        <v>130.81460000000001</v>
      </c>
      <c r="B200">
        <v>8.8900000000000007E-2</v>
      </c>
      <c r="C200">
        <v>3.8399999999999997E-2</v>
      </c>
      <c r="D200">
        <v>0.53310000000000002</v>
      </c>
    </row>
    <row r="201" spans="1:4" x14ac:dyDescent="0.25">
      <c r="A201">
        <v>131.6883</v>
      </c>
      <c r="B201">
        <v>9.01E-2</v>
      </c>
      <c r="C201">
        <v>3.9199999999999999E-2</v>
      </c>
      <c r="D201">
        <v>0.5343</v>
      </c>
    </row>
    <row r="202" spans="1:4" x14ac:dyDescent="0.25">
      <c r="A202">
        <v>132.56190000000001</v>
      </c>
      <c r="B202">
        <v>9.1300000000000006E-2</v>
      </c>
      <c r="C202">
        <v>0.04</v>
      </c>
      <c r="D202">
        <v>0.53549999999999998</v>
      </c>
    </row>
    <row r="203" spans="1:4" x14ac:dyDescent="0.25">
      <c r="A203">
        <v>133.43559999999999</v>
      </c>
      <c r="B203">
        <v>9.2399999999999996E-2</v>
      </c>
      <c r="C203">
        <v>4.07E-2</v>
      </c>
      <c r="D203">
        <v>0.53669999999999995</v>
      </c>
    </row>
    <row r="204" spans="1:4" x14ac:dyDescent="0.25">
      <c r="A204">
        <v>134.3092</v>
      </c>
      <c r="B204">
        <v>9.3600000000000003E-2</v>
      </c>
      <c r="C204">
        <v>4.1500000000000002E-2</v>
      </c>
      <c r="D204">
        <v>0.53779999999999994</v>
      </c>
    </row>
    <row r="205" spans="1:4" x14ac:dyDescent="0.25">
      <c r="A205">
        <v>135.19149999999999</v>
      </c>
      <c r="B205">
        <v>9.4700000000000006E-2</v>
      </c>
      <c r="C205">
        <v>4.2200000000000001E-2</v>
      </c>
      <c r="D205">
        <v>0.53900000000000003</v>
      </c>
    </row>
    <row r="206" spans="1:4" x14ac:dyDescent="0.25">
      <c r="A206">
        <v>136.07380000000001</v>
      </c>
      <c r="B206">
        <v>9.5799999999999996E-2</v>
      </c>
      <c r="C206">
        <v>4.2900000000000001E-2</v>
      </c>
      <c r="D206">
        <v>0.54010000000000002</v>
      </c>
    </row>
    <row r="207" spans="1:4" x14ac:dyDescent="0.25">
      <c r="A207">
        <v>136.95609999999999</v>
      </c>
      <c r="B207">
        <v>9.6799999999999997E-2</v>
      </c>
      <c r="C207">
        <v>4.3700000000000003E-2</v>
      </c>
      <c r="D207">
        <v>0.5413</v>
      </c>
    </row>
    <row r="208" spans="1:4" x14ac:dyDescent="0.25">
      <c r="A208">
        <v>137.83840000000001</v>
      </c>
      <c r="B208">
        <v>9.7900000000000001E-2</v>
      </c>
      <c r="C208">
        <v>4.4400000000000002E-2</v>
      </c>
      <c r="D208">
        <v>0.54239999999999999</v>
      </c>
    </row>
    <row r="209" spans="1:7" x14ac:dyDescent="0.25">
      <c r="A209">
        <v>138.69329999999999</v>
      </c>
      <c r="B209">
        <v>9.8900000000000002E-2</v>
      </c>
      <c r="C209">
        <v>4.5100000000000001E-2</v>
      </c>
      <c r="D209">
        <v>0.54339999999999999</v>
      </c>
    </row>
    <row r="210" spans="1:7" x14ac:dyDescent="0.25">
      <c r="A210">
        <v>139.54830000000001</v>
      </c>
      <c r="B210">
        <v>9.98E-2</v>
      </c>
      <c r="C210">
        <v>4.58E-2</v>
      </c>
      <c r="D210">
        <v>0.54449999999999998</v>
      </c>
    </row>
    <row r="211" spans="1:7" x14ac:dyDescent="0.25">
      <c r="A211">
        <v>140.4032</v>
      </c>
      <c r="B211">
        <v>0.1008</v>
      </c>
      <c r="C211">
        <v>4.65E-2</v>
      </c>
      <c r="D211">
        <v>0.54549999999999998</v>
      </c>
    </row>
    <row r="212" spans="1:7" x14ac:dyDescent="0.25">
      <c r="A212">
        <v>141.25810000000001</v>
      </c>
      <c r="B212">
        <v>0.1017</v>
      </c>
      <c r="C212">
        <v>4.7100000000000003E-2</v>
      </c>
      <c r="D212">
        <v>0.54659999999999997</v>
      </c>
    </row>
    <row r="213" spans="1:7" x14ac:dyDescent="0.25">
      <c r="A213">
        <v>142.0814</v>
      </c>
      <c r="B213">
        <v>0.1026</v>
      </c>
      <c r="C213">
        <v>4.7800000000000002E-2</v>
      </c>
      <c r="D213">
        <v>0.54759999999999998</v>
      </c>
    </row>
    <row r="214" spans="1:7" x14ac:dyDescent="0.25">
      <c r="A214">
        <v>142.90469999999999</v>
      </c>
      <c r="B214">
        <v>0.10340000000000001</v>
      </c>
      <c r="C214">
        <v>4.8399999999999999E-2</v>
      </c>
      <c r="D214">
        <v>0.54849999999999999</v>
      </c>
    </row>
    <row r="215" spans="1:7" x14ac:dyDescent="0.25">
      <c r="A215">
        <v>143.72800000000001</v>
      </c>
      <c r="B215">
        <v>0.1043</v>
      </c>
      <c r="C215">
        <v>4.9000000000000002E-2</v>
      </c>
      <c r="D215">
        <v>0.54949999999999999</v>
      </c>
    </row>
    <row r="216" spans="1:7" x14ac:dyDescent="0.25">
      <c r="A216">
        <v>144.5513</v>
      </c>
      <c r="B216">
        <v>0.1051</v>
      </c>
      <c r="C216">
        <v>4.9599999999999998E-2</v>
      </c>
      <c r="D216">
        <v>0.55049999999999999</v>
      </c>
    </row>
    <row r="217" spans="1:7" x14ac:dyDescent="0.25">
      <c r="A217">
        <v>145.36590000000001</v>
      </c>
      <c r="B217">
        <v>0.10589999999999999</v>
      </c>
      <c r="C217">
        <v>5.0200000000000002E-2</v>
      </c>
      <c r="D217">
        <v>0.5514</v>
      </c>
    </row>
    <row r="218" spans="1:7" x14ac:dyDescent="0.25">
      <c r="A218">
        <v>146.18049999999999</v>
      </c>
      <c r="B218">
        <v>0.1066</v>
      </c>
      <c r="C218">
        <v>5.0799999999999998E-2</v>
      </c>
      <c r="D218">
        <v>0.55230000000000001</v>
      </c>
    </row>
    <row r="219" spans="1:7" x14ac:dyDescent="0.25">
      <c r="A219">
        <v>146.99510000000001</v>
      </c>
      <c r="B219">
        <v>0.1074</v>
      </c>
      <c r="C219">
        <v>5.1299999999999998E-2</v>
      </c>
      <c r="D219">
        <v>0.55320000000000003</v>
      </c>
    </row>
    <row r="220" spans="1:7" x14ac:dyDescent="0.25">
      <c r="A220">
        <v>147.80969999999999</v>
      </c>
      <c r="B220">
        <v>0.1081</v>
      </c>
      <c r="C220">
        <v>5.1900000000000002E-2</v>
      </c>
      <c r="D220">
        <v>0.55420000000000003</v>
      </c>
    </row>
    <row r="221" spans="1:7" x14ac:dyDescent="0.25">
      <c r="A221">
        <v>148.57470000000001</v>
      </c>
      <c r="B221">
        <v>0.10879999999999999</v>
      </c>
      <c r="C221">
        <v>5.2400000000000002E-2</v>
      </c>
      <c r="D221">
        <v>0.55500000000000005</v>
      </c>
    </row>
    <row r="222" spans="1:7" x14ac:dyDescent="0.25">
      <c r="A222">
        <v>149.33969999999999</v>
      </c>
      <c r="B222">
        <v>0.1094</v>
      </c>
      <c r="C222">
        <v>5.2900000000000003E-2</v>
      </c>
      <c r="D222">
        <v>0.55579999999999996</v>
      </c>
    </row>
    <row r="223" spans="1:7" x14ac:dyDescent="0.25">
      <c r="A223">
        <v>150.10470000000001</v>
      </c>
      <c r="B223">
        <v>0.1101</v>
      </c>
      <c r="C223">
        <v>5.3400000000000003E-2</v>
      </c>
      <c r="D223">
        <v>0.55649999999999999</v>
      </c>
      <c r="G223">
        <f>5*365/12</f>
        <v>152.08333333333334</v>
      </c>
    </row>
    <row r="224" spans="1:7" x14ac:dyDescent="0.25">
      <c r="A224">
        <v>150.86969999999999</v>
      </c>
      <c r="B224">
        <v>0.11070000000000001</v>
      </c>
      <c r="C224">
        <v>5.3900000000000003E-2</v>
      </c>
      <c r="D224">
        <v>0.55720000000000003</v>
      </c>
    </row>
    <row r="225" spans="1:8" x14ac:dyDescent="0.25">
      <c r="A225">
        <v>151.60419999999999</v>
      </c>
      <c r="B225">
        <v>0.1113</v>
      </c>
      <c r="C225">
        <v>5.4399999999999997E-2</v>
      </c>
      <c r="D225">
        <v>0.55779999999999996</v>
      </c>
      <c r="F225">
        <f>B225</f>
        <v>0.1113</v>
      </c>
      <c r="G225">
        <f t="shared" ref="G225:H225" si="4">C225</f>
        <v>5.4399999999999997E-2</v>
      </c>
      <c r="H225">
        <f t="shared" si="4"/>
        <v>0.55779999999999996</v>
      </c>
    </row>
    <row r="226" spans="1:8" x14ac:dyDescent="0.25">
      <c r="A226">
        <v>152.33869999999999</v>
      </c>
      <c r="B226">
        <v>0.1118</v>
      </c>
      <c r="C226">
        <v>5.4800000000000001E-2</v>
      </c>
      <c r="D226">
        <v>0.55840000000000001</v>
      </c>
    </row>
    <row r="227" spans="1:8" x14ac:dyDescent="0.25">
      <c r="A227">
        <v>153.07329999999999</v>
      </c>
      <c r="B227">
        <v>0.1124</v>
      </c>
      <c r="C227">
        <v>5.5300000000000002E-2</v>
      </c>
      <c r="D227">
        <v>0.55900000000000005</v>
      </c>
    </row>
    <row r="228" spans="1:8" x14ac:dyDescent="0.25">
      <c r="A228">
        <v>153.80779999999999</v>
      </c>
      <c r="B228">
        <v>0.1129</v>
      </c>
      <c r="C228">
        <v>5.57E-2</v>
      </c>
      <c r="D228">
        <v>0.55959999999999999</v>
      </c>
    </row>
    <row r="229" spans="1:8" x14ac:dyDescent="0.25">
      <c r="A229">
        <v>154.5402</v>
      </c>
      <c r="B229">
        <v>0.1134</v>
      </c>
      <c r="C229">
        <v>5.6099999999999997E-2</v>
      </c>
      <c r="D229">
        <v>0.56020000000000003</v>
      </c>
    </row>
    <row r="230" spans="1:8" x14ac:dyDescent="0.25">
      <c r="A230">
        <v>155.27269999999999</v>
      </c>
      <c r="B230">
        <v>0.1139</v>
      </c>
      <c r="C230">
        <v>5.6599999999999998E-2</v>
      </c>
      <c r="D230">
        <v>0.56079999999999997</v>
      </c>
    </row>
    <row r="231" spans="1:8" x14ac:dyDescent="0.25">
      <c r="A231">
        <v>156.0051</v>
      </c>
      <c r="B231">
        <v>0.1144</v>
      </c>
      <c r="C231">
        <v>5.7000000000000002E-2</v>
      </c>
      <c r="D231">
        <v>0.56140000000000001</v>
      </c>
    </row>
    <row r="232" spans="1:8" x14ac:dyDescent="0.25">
      <c r="A232">
        <v>156.73750000000001</v>
      </c>
      <c r="B232">
        <v>0.1149</v>
      </c>
      <c r="C232">
        <v>5.74E-2</v>
      </c>
      <c r="D232">
        <v>0.56200000000000006</v>
      </c>
    </row>
    <row r="233" spans="1:8" x14ac:dyDescent="0.25">
      <c r="A233">
        <v>157.48660000000001</v>
      </c>
      <c r="B233">
        <v>0.1154</v>
      </c>
      <c r="C233">
        <v>5.7799999999999997E-2</v>
      </c>
      <c r="D233">
        <v>0.56259999999999999</v>
      </c>
    </row>
    <row r="234" spans="1:8" x14ac:dyDescent="0.25">
      <c r="A234">
        <v>158.23570000000001</v>
      </c>
      <c r="B234">
        <v>0.1159</v>
      </c>
      <c r="C234">
        <v>5.8200000000000002E-2</v>
      </c>
      <c r="D234">
        <v>0.56310000000000004</v>
      </c>
    </row>
    <row r="235" spans="1:8" x14ac:dyDescent="0.25">
      <c r="A235">
        <v>158.9847</v>
      </c>
      <c r="B235">
        <v>0.1163</v>
      </c>
      <c r="C235">
        <v>5.8599999999999999E-2</v>
      </c>
      <c r="D235">
        <v>0.56369999999999998</v>
      </c>
    </row>
    <row r="236" spans="1:8" x14ac:dyDescent="0.25">
      <c r="A236">
        <v>159.7338</v>
      </c>
      <c r="B236">
        <v>0.1168</v>
      </c>
      <c r="C236">
        <v>5.8900000000000001E-2</v>
      </c>
      <c r="D236">
        <v>0.56430000000000002</v>
      </c>
    </row>
    <row r="237" spans="1:8" x14ac:dyDescent="0.25">
      <c r="A237">
        <v>160.4872</v>
      </c>
      <c r="B237">
        <v>0.1172</v>
      </c>
      <c r="C237">
        <v>5.9299999999999999E-2</v>
      </c>
      <c r="D237">
        <v>0.56489999999999996</v>
      </c>
    </row>
    <row r="238" spans="1:8" x14ac:dyDescent="0.25">
      <c r="A238">
        <v>161.2406</v>
      </c>
      <c r="B238">
        <v>0.1176</v>
      </c>
      <c r="C238">
        <v>5.9700000000000003E-2</v>
      </c>
      <c r="D238">
        <v>0.56540000000000001</v>
      </c>
    </row>
    <row r="239" spans="1:8" x14ac:dyDescent="0.25">
      <c r="A239">
        <v>161.9941</v>
      </c>
      <c r="B239">
        <v>0.11799999999999999</v>
      </c>
      <c r="C239">
        <v>0.06</v>
      </c>
      <c r="D239">
        <v>0.56599999999999995</v>
      </c>
    </row>
    <row r="240" spans="1:8" x14ac:dyDescent="0.25">
      <c r="A240">
        <v>162.7475</v>
      </c>
      <c r="B240">
        <v>0.11840000000000001</v>
      </c>
      <c r="C240">
        <v>6.0400000000000002E-2</v>
      </c>
      <c r="D240">
        <v>0.56659999999999999</v>
      </c>
    </row>
    <row r="241" spans="1:4" x14ac:dyDescent="0.25">
      <c r="A241">
        <v>163.4982</v>
      </c>
      <c r="B241">
        <v>0.1188</v>
      </c>
      <c r="C241">
        <v>6.0699999999999997E-2</v>
      </c>
      <c r="D241">
        <v>0.56710000000000005</v>
      </c>
    </row>
    <row r="242" spans="1:4" x14ac:dyDescent="0.25">
      <c r="A242">
        <v>164.249</v>
      </c>
      <c r="B242">
        <v>0.1192</v>
      </c>
      <c r="C242">
        <v>6.1100000000000002E-2</v>
      </c>
      <c r="D242">
        <v>0.56769999999999998</v>
      </c>
    </row>
    <row r="243" spans="1:4" x14ac:dyDescent="0.25">
      <c r="A243">
        <v>164.99979999999999</v>
      </c>
      <c r="B243">
        <v>0.1196</v>
      </c>
      <c r="C243">
        <v>6.1400000000000003E-2</v>
      </c>
      <c r="D243">
        <v>0.56820000000000004</v>
      </c>
    </row>
    <row r="244" spans="1:4" x14ac:dyDescent="0.25">
      <c r="A244">
        <v>165.75059999999999</v>
      </c>
      <c r="B244">
        <v>0.11990000000000001</v>
      </c>
      <c r="C244">
        <v>6.1699999999999998E-2</v>
      </c>
      <c r="D244">
        <v>0.56879999999999997</v>
      </c>
    </row>
    <row r="245" spans="1:4" x14ac:dyDescent="0.25">
      <c r="A245">
        <v>166.50370000000001</v>
      </c>
      <c r="B245">
        <v>0.1203</v>
      </c>
      <c r="C245">
        <v>6.2E-2</v>
      </c>
      <c r="D245">
        <v>0.56930000000000003</v>
      </c>
    </row>
    <row r="246" spans="1:4" x14ac:dyDescent="0.25">
      <c r="A246">
        <v>167.2568</v>
      </c>
      <c r="B246">
        <v>0.1206</v>
      </c>
      <c r="C246">
        <v>6.2300000000000001E-2</v>
      </c>
      <c r="D246">
        <v>0.56989999999999996</v>
      </c>
    </row>
    <row r="247" spans="1:4" x14ac:dyDescent="0.25">
      <c r="A247">
        <v>168.00989999999999</v>
      </c>
      <c r="B247">
        <v>0.12089999999999999</v>
      </c>
      <c r="C247">
        <v>6.2600000000000003E-2</v>
      </c>
      <c r="D247">
        <v>0.57040000000000002</v>
      </c>
    </row>
    <row r="248" spans="1:4" x14ac:dyDescent="0.25">
      <c r="A248">
        <v>168.76300000000001</v>
      </c>
      <c r="B248">
        <v>0.1212</v>
      </c>
      <c r="C248">
        <v>6.2899999999999998E-2</v>
      </c>
      <c r="D248">
        <v>0.57099999999999995</v>
      </c>
    </row>
    <row r="249" spans="1:4" x14ac:dyDescent="0.25">
      <c r="A249">
        <v>169.52590000000001</v>
      </c>
      <c r="B249">
        <v>0.1215</v>
      </c>
      <c r="C249">
        <v>6.3200000000000006E-2</v>
      </c>
      <c r="D249">
        <v>0.57150000000000001</v>
      </c>
    </row>
    <row r="250" spans="1:4" x14ac:dyDescent="0.25">
      <c r="A250">
        <v>170.28870000000001</v>
      </c>
      <c r="B250">
        <v>0.12180000000000001</v>
      </c>
      <c r="C250">
        <v>6.3500000000000001E-2</v>
      </c>
      <c r="D250">
        <v>0.57199999999999995</v>
      </c>
    </row>
    <row r="251" spans="1:4" x14ac:dyDescent="0.25">
      <c r="A251">
        <v>171.05160000000001</v>
      </c>
      <c r="B251">
        <v>0.1221</v>
      </c>
      <c r="C251">
        <v>6.3700000000000007E-2</v>
      </c>
      <c r="D251">
        <v>0.5726</v>
      </c>
    </row>
    <row r="252" spans="1:4" x14ac:dyDescent="0.25">
      <c r="A252">
        <v>171.81450000000001</v>
      </c>
      <c r="B252">
        <v>0.12239999999999999</v>
      </c>
      <c r="C252">
        <v>6.4000000000000001E-2</v>
      </c>
      <c r="D252">
        <v>0.57310000000000005</v>
      </c>
    </row>
    <row r="253" spans="1:4" x14ac:dyDescent="0.25">
      <c r="A253">
        <v>172.58789999999999</v>
      </c>
      <c r="B253">
        <v>0.1227</v>
      </c>
      <c r="C253">
        <v>6.4299999999999996E-2</v>
      </c>
      <c r="D253">
        <v>0.5736</v>
      </c>
    </row>
    <row r="254" spans="1:4" x14ac:dyDescent="0.25">
      <c r="A254">
        <v>173.3613</v>
      </c>
      <c r="B254">
        <v>0.123</v>
      </c>
      <c r="C254">
        <v>6.4500000000000002E-2</v>
      </c>
      <c r="D254">
        <v>0.57420000000000004</v>
      </c>
    </row>
    <row r="255" spans="1:4" x14ac:dyDescent="0.25">
      <c r="A255">
        <v>174.13480000000001</v>
      </c>
      <c r="B255">
        <v>0.1232</v>
      </c>
      <c r="C255">
        <v>6.4799999999999996E-2</v>
      </c>
      <c r="D255">
        <v>0.57469999999999999</v>
      </c>
    </row>
    <row r="256" spans="1:4" x14ac:dyDescent="0.25">
      <c r="A256">
        <v>174.90819999999999</v>
      </c>
      <c r="B256">
        <v>0.1235</v>
      </c>
      <c r="C256">
        <v>6.5000000000000002E-2</v>
      </c>
      <c r="D256">
        <v>0.57520000000000004</v>
      </c>
    </row>
    <row r="257" spans="1:8" x14ac:dyDescent="0.25">
      <c r="A257">
        <v>175.6876</v>
      </c>
      <c r="B257">
        <v>0.1237</v>
      </c>
      <c r="C257">
        <v>6.5199999999999994E-2</v>
      </c>
      <c r="D257">
        <v>0.57569999999999999</v>
      </c>
    </row>
    <row r="258" spans="1:8" x14ac:dyDescent="0.25">
      <c r="A258">
        <v>176.46690000000001</v>
      </c>
      <c r="B258">
        <v>0.124</v>
      </c>
      <c r="C258">
        <v>6.5500000000000003E-2</v>
      </c>
      <c r="D258">
        <v>0.57620000000000005</v>
      </c>
    </row>
    <row r="259" spans="1:8" x14ac:dyDescent="0.25">
      <c r="A259">
        <v>177.24629999999999</v>
      </c>
      <c r="B259">
        <v>0.1242</v>
      </c>
      <c r="C259">
        <v>6.5699999999999995E-2</v>
      </c>
      <c r="D259">
        <v>0.57679999999999998</v>
      </c>
    </row>
    <row r="260" spans="1:8" x14ac:dyDescent="0.25">
      <c r="A260">
        <v>178.0257</v>
      </c>
      <c r="B260">
        <v>0.1244</v>
      </c>
      <c r="C260">
        <v>6.59E-2</v>
      </c>
      <c r="D260">
        <v>0.57730000000000004</v>
      </c>
    </row>
    <row r="261" spans="1:8" x14ac:dyDescent="0.25">
      <c r="A261">
        <v>178.51929999999999</v>
      </c>
      <c r="B261">
        <v>0.1246</v>
      </c>
      <c r="C261">
        <v>6.6100000000000006E-2</v>
      </c>
      <c r="D261">
        <v>0.5776</v>
      </c>
    </row>
    <row r="262" spans="1:8" x14ac:dyDescent="0.25">
      <c r="A262">
        <v>179.0128</v>
      </c>
      <c r="B262">
        <v>0.12470000000000001</v>
      </c>
      <c r="C262">
        <v>6.6199999999999995E-2</v>
      </c>
      <c r="D262">
        <v>0.57789999999999997</v>
      </c>
    </row>
    <row r="263" spans="1:8" x14ac:dyDescent="0.25">
      <c r="A263">
        <v>179.50640000000001</v>
      </c>
      <c r="B263">
        <v>0.12479999999999999</v>
      </c>
      <c r="C263">
        <v>6.6299999999999998E-2</v>
      </c>
      <c r="D263">
        <v>0.57830000000000004</v>
      </c>
    </row>
    <row r="264" spans="1:8" x14ac:dyDescent="0.25">
      <c r="A264">
        <v>180</v>
      </c>
      <c r="B264">
        <v>0.125</v>
      </c>
      <c r="C264">
        <v>6.6400000000000001E-2</v>
      </c>
      <c r="D264">
        <v>0.5786</v>
      </c>
      <c r="F264">
        <f>B264</f>
        <v>0.125</v>
      </c>
      <c r="G264">
        <f t="shared" ref="G264:H264" si="5">C264</f>
        <v>6.6400000000000001E-2</v>
      </c>
      <c r="H264">
        <f t="shared" si="5"/>
        <v>0.5786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topLeftCell="B1" workbookViewId="0">
      <selection activeCell="K14" sqref="K14"/>
    </sheetView>
  </sheetViews>
  <sheetFormatPr defaultRowHeight="15" x14ac:dyDescent="0.25"/>
  <sheetData>
    <row r="1" spans="1:19" ht="15.75" x14ac:dyDescent="0.25">
      <c r="A1" s="1" t="s">
        <v>0</v>
      </c>
      <c r="F1" s="2" t="s">
        <v>5</v>
      </c>
    </row>
    <row r="3" spans="1:19" x14ac:dyDescent="0.25">
      <c r="K3" t="s">
        <v>13</v>
      </c>
      <c r="P3" t="s">
        <v>15</v>
      </c>
    </row>
    <row r="4" spans="1:19" x14ac:dyDescent="0.25">
      <c r="A4" t="s">
        <v>1</v>
      </c>
      <c r="B4" t="s">
        <v>2</v>
      </c>
      <c r="C4" t="s">
        <v>3</v>
      </c>
      <c r="D4" t="s">
        <v>4</v>
      </c>
      <c r="F4" t="s">
        <v>1</v>
      </c>
      <c r="G4" t="s">
        <v>2</v>
      </c>
      <c r="H4" t="s">
        <v>3</v>
      </c>
      <c r="I4" t="s">
        <v>4</v>
      </c>
    </row>
    <row r="5" spans="1:19" x14ac:dyDescent="0.25">
      <c r="K5" t="s">
        <v>14</v>
      </c>
      <c r="L5" t="s">
        <v>2</v>
      </c>
      <c r="M5" t="s">
        <v>3</v>
      </c>
      <c r="N5" t="s">
        <v>4</v>
      </c>
      <c r="P5" t="s">
        <v>14</v>
      </c>
      <c r="Q5" t="s">
        <v>2</v>
      </c>
      <c r="R5" t="s">
        <v>3</v>
      </c>
      <c r="S5" t="s">
        <v>4</v>
      </c>
    </row>
    <row r="6" spans="1:19" x14ac:dyDescent="0.25">
      <c r="A6" t="s">
        <v>6</v>
      </c>
      <c r="B6">
        <v>0</v>
      </c>
      <c r="C6">
        <v>0</v>
      </c>
      <c r="D6">
        <v>0</v>
      </c>
      <c r="F6" t="s">
        <v>6</v>
      </c>
      <c r="G6">
        <v>0</v>
      </c>
      <c r="H6">
        <v>0</v>
      </c>
      <c r="I6">
        <v>0</v>
      </c>
      <c r="K6">
        <v>1</v>
      </c>
      <c r="L6">
        <v>0</v>
      </c>
      <c r="M6">
        <v>0</v>
      </c>
      <c r="N6">
        <v>0</v>
      </c>
      <c r="P6">
        <v>1</v>
      </c>
      <c r="Q6">
        <v>0</v>
      </c>
      <c r="R6">
        <v>0</v>
      </c>
      <c r="S6">
        <v>0</v>
      </c>
    </row>
    <row r="7" spans="1:19" x14ac:dyDescent="0.25">
      <c r="A7" t="s">
        <v>7</v>
      </c>
      <c r="B7">
        <v>6.9999999999999999E-4</v>
      </c>
      <c r="C7">
        <v>0</v>
      </c>
      <c r="D7">
        <v>0.16270000000000001</v>
      </c>
      <c r="F7" t="s">
        <v>7</v>
      </c>
      <c r="G7">
        <v>6.9999999999999999E-4</v>
      </c>
      <c r="H7">
        <v>0</v>
      </c>
      <c r="I7">
        <v>0.16250000000000001</v>
      </c>
      <c r="K7">
        <v>2</v>
      </c>
      <c r="L7">
        <f>(B7-B6)/(1-B6)</f>
        <v>6.9999999999999999E-4</v>
      </c>
      <c r="M7">
        <f>(C7-C6)/(1-C6)</f>
        <v>0</v>
      </c>
      <c r="N7">
        <f>(D7-D6)/(1-D6)</f>
        <v>0.16270000000000001</v>
      </c>
      <c r="P7">
        <v>2</v>
      </c>
      <c r="Q7">
        <f>(G7-G6)/(1-G6)</f>
        <v>6.9999999999999999E-4</v>
      </c>
      <c r="R7">
        <f>(H7-H6)/(1-H6)</f>
        <v>0</v>
      </c>
      <c r="S7">
        <f>(I7-I6)/(1-I6)</f>
        <v>0.16250000000000001</v>
      </c>
    </row>
    <row r="8" spans="1:19" x14ac:dyDescent="0.25">
      <c r="A8" t="s">
        <v>8</v>
      </c>
      <c r="B8">
        <v>5.7000000000000002E-3</v>
      </c>
      <c r="C8">
        <v>4.0000000000000002E-4</v>
      </c>
      <c r="D8">
        <v>0.34079999999999999</v>
      </c>
      <c r="F8" t="s">
        <v>8</v>
      </c>
      <c r="G8">
        <v>6.1000000000000004E-3</v>
      </c>
      <c r="H8">
        <v>8.9999999999999998E-4</v>
      </c>
      <c r="I8">
        <v>0.34</v>
      </c>
      <c r="K8">
        <v>3</v>
      </c>
      <c r="L8">
        <f t="shared" ref="L8:N12" si="0">(B8-B7)/(1-B7)</f>
        <v>5.0035024517162017E-3</v>
      </c>
      <c r="M8">
        <f t="shared" si="0"/>
        <v>4.0000000000000002E-4</v>
      </c>
      <c r="N8">
        <f t="shared" si="0"/>
        <v>0.21270751224172937</v>
      </c>
      <c r="P8">
        <v>3</v>
      </c>
      <c r="Q8">
        <f t="shared" ref="Q8:Q12" si="1">(G8-G7)/(1-G7)</f>
        <v>5.4037826478534976E-3</v>
      </c>
      <c r="R8">
        <f t="shared" ref="R8:R12" si="2">(H8-H7)/(1-H7)</f>
        <v>8.9999999999999998E-4</v>
      </c>
      <c r="S8">
        <f t="shared" ref="S8:S12" si="3">(I8-I7)/(1-I7)</f>
        <v>0.21194029850746271</v>
      </c>
    </row>
    <row r="9" spans="1:19" x14ac:dyDescent="0.25">
      <c r="A9" t="s">
        <v>9</v>
      </c>
      <c r="B9">
        <v>2.47E-2</v>
      </c>
      <c r="C9">
        <v>3.2000000000000002E-3</v>
      </c>
      <c r="D9">
        <v>0.4637</v>
      </c>
      <c r="F9" t="s">
        <v>9</v>
      </c>
      <c r="G9">
        <v>2.9000000000000001E-2</v>
      </c>
      <c r="H9">
        <v>8.0999999999999996E-3</v>
      </c>
      <c r="I9">
        <v>0.46350000000000002</v>
      </c>
      <c r="K9">
        <v>4</v>
      </c>
      <c r="L9">
        <f t="shared" si="0"/>
        <v>1.910892084883838E-2</v>
      </c>
      <c r="M9">
        <f t="shared" si="0"/>
        <v>2.8011204481792717E-3</v>
      </c>
      <c r="N9">
        <f t="shared" si="0"/>
        <v>0.18643810679611653</v>
      </c>
      <c r="P9">
        <v>4</v>
      </c>
      <c r="Q9">
        <f t="shared" si="1"/>
        <v>2.3040547338766475E-2</v>
      </c>
      <c r="R9">
        <f t="shared" si="2"/>
        <v>7.2064858372535281E-3</v>
      </c>
      <c r="S9">
        <f t="shared" si="3"/>
        <v>0.18712121212121213</v>
      </c>
    </row>
    <row r="10" spans="1:19" x14ac:dyDescent="0.25">
      <c r="A10" t="s">
        <v>10</v>
      </c>
      <c r="B10">
        <v>6.1400000000000003E-2</v>
      </c>
      <c r="C10">
        <v>1.15E-2</v>
      </c>
      <c r="D10">
        <v>0.52100000000000002</v>
      </c>
      <c r="F10" t="s">
        <v>10</v>
      </c>
      <c r="G10">
        <v>7.4399999999999994E-2</v>
      </c>
      <c r="H10">
        <v>2.9700000000000001E-2</v>
      </c>
      <c r="I10">
        <v>0.51870000000000005</v>
      </c>
      <c r="K10">
        <v>5</v>
      </c>
      <c r="L10">
        <f t="shared" si="0"/>
        <v>3.7629447349533475E-2</v>
      </c>
      <c r="M10">
        <f t="shared" si="0"/>
        <v>8.3266452648475126E-3</v>
      </c>
      <c r="N10">
        <f t="shared" si="0"/>
        <v>0.1068431847846355</v>
      </c>
      <c r="P10">
        <v>5</v>
      </c>
      <c r="Q10">
        <f t="shared" si="1"/>
        <v>4.6755921730175072E-2</v>
      </c>
      <c r="R10">
        <f t="shared" si="2"/>
        <v>2.1776388748865814E-2</v>
      </c>
      <c r="S10">
        <f t="shared" si="3"/>
        <v>0.10288909599254432</v>
      </c>
    </row>
    <row r="11" spans="1:19" x14ac:dyDescent="0.25">
      <c r="A11" t="s">
        <v>11</v>
      </c>
      <c r="B11">
        <v>9.4100000000000003E-2</v>
      </c>
      <c r="C11">
        <v>2.2200000000000001E-2</v>
      </c>
      <c r="D11">
        <v>0.56330000000000002</v>
      </c>
      <c r="F11" t="s">
        <v>11</v>
      </c>
      <c r="G11">
        <v>0.1113</v>
      </c>
      <c r="H11">
        <v>5.4399999999999997E-2</v>
      </c>
      <c r="I11">
        <v>0.55779999999999996</v>
      </c>
      <c r="K11">
        <v>6</v>
      </c>
      <c r="L11">
        <f t="shared" si="0"/>
        <v>3.4839122096739825E-2</v>
      </c>
      <c r="M11">
        <f t="shared" si="0"/>
        <v>1.082448153768336E-2</v>
      </c>
      <c r="N11">
        <f t="shared" si="0"/>
        <v>8.8308977035490621E-2</v>
      </c>
      <c r="P11">
        <v>6</v>
      </c>
      <c r="Q11">
        <f t="shared" si="1"/>
        <v>3.9866032843560939E-2</v>
      </c>
      <c r="R11">
        <f t="shared" si="2"/>
        <v>2.5456044522312683E-2</v>
      </c>
      <c r="S11">
        <f t="shared" si="3"/>
        <v>8.1238312902555412E-2</v>
      </c>
    </row>
    <row r="12" spans="1:19" x14ac:dyDescent="0.25">
      <c r="A12" t="s">
        <v>12</v>
      </c>
      <c r="B12">
        <v>0.1079</v>
      </c>
      <c r="C12">
        <v>2.8199999999999999E-2</v>
      </c>
      <c r="D12">
        <v>0.58609999999999995</v>
      </c>
      <c r="F12" t="s">
        <v>12</v>
      </c>
      <c r="G12">
        <v>0.125</v>
      </c>
      <c r="H12">
        <v>6.6400000000000001E-2</v>
      </c>
      <c r="I12">
        <v>0.5786</v>
      </c>
      <c r="K12">
        <v>7</v>
      </c>
      <c r="L12">
        <f t="shared" si="0"/>
        <v>1.5233469477867306E-2</v>
      </c>
      <c r="M12">
        <f t="shared" si="0"/>
        <v>6.136224176723255E-3</v>
      </c>
      <c r="N12">
        <f t="shared" si="0"/>
        <v>5.2209754980535684E-2</v>
      </c>
      <c r="P12">
        <v>7</v>
      </c>
      <c r="Q12">
        <f t="shared" si="1"/>
        <v>1.5415775852368632E-2</v>
      </c>
      <c r="R12">
        <f t="shared" si="2"/>
        <v>1.2690355329949242E-2</v>
      </c>
      <c r="S12">
        <f t="shared" si="3"/>
        <v>4.7037539574853099E-2</v>
      </c>
    </row>
    <row r="13" spans="1:19" x14ac:dyDescent="0.25">
      <c r="K13">
        <v>8</v>
      </c>
      <c r="L13">
        <v>0</v>
      </c>
      <c r="M13">
        <v>0</v>
      </c>
      <c r="N13">
        <v>0</v>
      </c>
      <c r="P13">
        <v>8</v>
      </c>
      <c r="Q13">
        <v>0</v>
      </c>
      <c r="R13">
        <v>0</v>
      </c>
      <c r="S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Calculations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Kenneth</dc:creator>
  <cp:lastModifiedBy>Smith, Kenneth</cp:lastModifiedBy>
  <dcterms:created xsi:type="dcterms:W3CDTF">2014-11-10T15:54:01Z</dcterms:created>
  <dcterms:modified xsi:type="dcterms:W3CDTF">2014-11-11T15:34:25Z</dcterms:modified>
</cp:coreProperties>
</file>