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 firstSheet="2" activeTab="5"/>
  </bookViews>
  <sheets>
    <sheet name="Wrong" sheetId="1" r:id="rId1"/>
    <sheet name="Calc" sheetId="2" r:id="rId2"/>
    <sheet name="Monthly vax uptake-obs" sheetId="6" r:id="rId3"/>
    <sheet name="Monthly vax uptake-100%" sheetId="5" r:id="rId4"/>
    <sheet name="FluView2013" sheetId="3" r:id="rId5"/>
    <sheet name="Monthly flu attack-'13-'14" sheetId="7" r:id="rId6"/>
    <sheet name="FluVaxView2013" sheetId="4" r:id="rId7"/>
  </sheets>
  <calcPr calcId="145621"/>
</workbook>
</file>

<file path=xl/calcChain.xml><?xml version="1.0" encoding="utf-8"?>
<calcChain xmlns="http://schemas.openxmlformats.org/spreadsheetml/2006/main">
  <c r="H11" i="7" l="1"/>
  <c r="H10" i="7"/>
  <c r="H9" i="7"/>
  <c r="H8" i="7"/>
  <c r="H7" i="7"/>
  <c r="H6" i="7"/>
  <c r="H5" i="7"/>
  <c r="H4" i="7"/>
  <c r="H3" i="7"/>
  <c r="H2" i="7"/>
  <c r="I2" i="7" s="1"/>
  <c r="J2" i="7" s="1"/>
  <c r="I3" i="7" s="1"/>
  <c r="J3" i="7" s="1"/>
  <c r="I8" i="3"/>
  <c r="I9" i="3"/>
  <c r="I10" i="3" s="1"/>
  <c r="I11" i="3" s="1"/>
  <c r="I12" i="3" s="1"/>
  <c r="I13" i="3" s="1"/>
  <c r="I14" i="3" s="1"/>
  <c r="I15" i="3" s="1"/>
  <c r="I16" i="3" s="1"/>
  <c r="I7" i="3"/>
  <c r="H8" i="3"/>
  <c r="H9" i="3"/>
  <c r="H10" i="3"/>
  <c r="H11" i="3"/>
  <c r="H12" i="3"/>
  <c r="H13" i="3"/>
  <c r="H14" i="3"/>
  <c r="H15" i="3"/>
  <c r="H16" i="3"/>
  <c r="H7" i="3"/>
  <c r="H11" i="6"/>
  <c r="H10" i="6"/>
  <c r="H9" i="6"/>
  <c r="H8" i="6"/>
  <c r="H7" i="6"/>
  <c r="H6" i="6"/>
  <c r="H5" i="6"/>
  <c r="H4" i="6"/>
  <c r="H3" i="6"/>
  <c r="H2" i="6"/>
  <c r="I2" i="6" s="1"/>
  <c r="J2" i="6" s="1"/>
  <c r="I3" i="6" s="1"/>
  <c r="J3" i="6" s="1"/>
  <c r="I4" i="7" l="1"/>
  <c r="J4" i="7" s="1"/>
  <c r="I5" i="7" s="1"/>
  <c r="J5" i="7" s="1"/>
  <c r="I6" i="7"/>
  <c r="J6" i="7" s="1"/>
  <c r="I7" i="7" s="1"/>
  <c r="J7" i="7" s="1"/>
  <c r="I8" i="7" s="1"/>
  <c r="J8" i="7" s="1"/>
  <c r="I9" i="7" s="1"/>
  <c r="J9" i="7" s="1"/>
  <c r="I10" i="7" s="1"/>
  <c r="J10" i="7" s="1"/>
  <c r="I11" i="7" s="1"/>
  <c r="J11" i="7" s="1"/>
  <c r="I4" i="6"/>
  <c r="J4" i="6" s="1"/>
  <c r="I5" i="6" s="1"/>
  <c r="J5" i="6" s="1"/>
  <c r="I6" i="6"/>
  <c r="J6" i="6" s="1"/>
  <c r="I7" i="6" s="1"/>
  <c r="J7" i="6" s="1"/>
  <c r="I8" i="6" s="1"/>
  <c r="J8" i="6" s="1"/>
  <c r="I9" i="6" s="1"/>
  <c r="J9" i="6" s="1"/>
  <c r="I10" i="6" s="1"/>
  <c r="J10" i="6" s="1"/>
  <c r="I11" i="6" s="1"/>
  <c r="J11" i="6" s="1"/>
  <c r="H11" i="5"/>
  <c r="H10" i="5"/>
  <c r="H9" i="5"/>
  <c r="H8" i="5"/>
  <c r="H7" i="5"/>
  <c r="H6" i="5"/>
  <c r="H5" i="5"/>
  <c r="H4" i="5"/>
  <c r="H3" i="5"/>
  <c r="H2" i="5"/>
  <c r="I2" i="5" s="1"/>
  <c r="J2" i="5" s="1"/>
  <c r="P1" i="5"/>
  <c r="H2" i="2"/>
  <c r="I3" i="5" l="1"/>
  <c r="J3" i="5" s="1"/>
  <c r="I4" i="5" s="1"/>
  <c r="J4" i="5" s="1"/>
  <c r="I5" i="5" s="1"/>
  <c r="J5" i="5" s="1"/>
  <c r="I6" i="5" s="1"/>
  <c r="J6" i="5" s="1"/>
  <c r="I7" i="5" s="1"/>
  <c r="J7" i="5" s="1"/>
  <c r="I8" i="5" s="1"/>
  <c r="J8" i="5" s="1"/>
  <c r="I9" i="5" s="1"/>
  <c r="J9" i="5" s="1"/>
  <c r="I10" i="5" s="1"/>
  <c r="J10" i="5" s="1"/>
  <c r="I11" i="5" s="1"/>
  <c r="J11" i="5" s="1"/>
  <c r="I2" i="2"/>
  <c r="J2" i="2" s="1"/>
  <c r="H3" i="2"/>
  <c r="H4" i="2"/>
  <c r="H5" i="2"/>
  <c r="H6" i="2"/>
  <c r="H7" i="2"/>
  <c r="H8" i="2"/>
  <c r="H9" i="2"/>
  <c r="H10" i="2"/>
  <c r="H11" i="2"/>
  <c r="I3" i="2" l="1"/>
  <c r="J3" i="2" s="1"/>
  <c r="I4" i="2" s="1"/>
  <c r="J4" i="2" s="1"/>
  <c r="I5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I11" i="2" s="1"/>
  <c r="J11" i="2" s="1"/>
  <c r="G3" i="1"/>
  <c r="G4" i="1"/>
  <c r="G5" i="1"/>
  <c r="G6" i="1"/>
  <c r="G7" i="1"/>
  <c r="G8" i="1"/>
  <c r="G2" i="1"/>
  <c r="H2" i="1" s="1"/>
  <c r="I2" i="1" s="1"/>
  <c r="H3" i="1" s="1"/>
  <c r="I3" i="1" s="1"/>
  <c r="Q4" i="1"/>
  <c r="Q5" i="1"/>
  <c r="Q6" i="1"/>
  <c r="Q7" i="1"/>
  <c r="Q8" i="1"/>
  <c r="Q3" i="1"/>
  <c r="R2" i="1"/>
  <c r="S2" i="1" s="1"/>
  <c r="M2" i="1"/>
  <c r="N2" i="1" s="1"/>
  <c r="R3" i="1" l="1"/>
  <c r="S3" i="1" s="1"/>
  <c r="R4" i="1" s="1"/>
  <c r="S4" i="1" s="1"/>
  <c r="R5" i="1" s="1"/>
  <c r="S5" i="1" s="1"/>
  <c r="R6" i="1" s="1"/>
  <c r="S6" i="1" s="1"/>
  <c r="R7" i="1" s="1"/>
  <c r="S7" i="1" s="1"/>
  <c r="R8" i="1" s="1"/>
  <c r="S8" i="1" s="1"/>
  <c r="M3" i="1"/>
  <c r="N3" i="1" s="1"/>
  <c r="M4" i="1" s="1"/>
  <c r="N4" i="1" s="1"/>
  <c r="M5" i="1" s="1"/>
  <c r="N5" i="1" s="1"/>
  <c r="M6" i="1" s="1"/>
  <c r="N6" i="1" s="1"/>
  <c r="M7" i="1" s="1"/>
  <c r="N7" i="1" s="1"/>
  <c r="M8" i="1" s="1"/>
  <c r="N8" i="1" s="1"/>
  <c r="H4" i="1"/>
  <c r="I4" i="1" s="1"/>
  <c r="H5" i="1" l="1"/>
  <c r="I5" i="1" s="1"/>
  <c r="H6" i="1" l="1"/>
  <c r="I6" i="1" s="1"/>
  <c r="H7" i="1" l="1"/>
  <c r="I7" i="1" s="1"/>
  <c r="H8" i="1" l="1"/>
  <c r="I8" i="1" s="1"/>
</calcChain>
</file>

<file path=xl/sharedStrings.xml><?xml version="1.0" encoding="utf-8"?>
<sst xmlns="http://schemas.openxmlformats.org/spreadsheetml/2006/main" count="124" uniqueCount="25">
  <si>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</si>
  <si>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</si>
  <si>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</si>
  <si>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</si>
  <si>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</si>
  <si>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</si>
  <si>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</si>
  <si>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</si>
  <si>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</si>
  <si>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</si>
  <si>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http://gis.cdc.gov/grasp/fluview/fluportaldashboard.html</t>
  </si>
  <si>
    <t>YEAR</t>
  </si>
  <si>
    <t>month</t>
  </si>
  <si>
    <t>Sum of positive</t>
  </si>
  <si>
    <t>Sum of TOTAL SPECIMENS</t>
  </si>
  <si>
    <t>Sum of pFluPositive</t>
  </si>
  <si>
    <t>Grand Total</t>
  </si>
  <si>
    <t>http://www.cdc.gov/flu/fluvaxview/coverage-1314estimates.htm#by-month-children</t>
  </si>
  <si>
    <t>http://www.cdc.gov/flu/fluvaxview/coverage-1213estimates.htm</t>
  </si>
  <si>
    <t>Monthly % of total</t>
  </si>
  <si>
    <t>Cum</t>
  </si>
  <si>
    <t>Jun</t>
  </si>
  <si>
    <t>Jul</t>
  </si>
  <si>
    <t>Sep</t>
  </si>
  <si>
    <t>Cum (collapse May-July)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</si>
</sst>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4" applyNumberFormat="0" applyAlignment="0" applyProtection="0"/>
    <xf numFmtId="0" fontId="10" fillId="7" borderId="5" applyNumberFormat="0" applyAlignment="0" applyProtection="0"/>
    <xf numFmtId="0" fontId="11" fillId="7" borderId="4" applyNumberFormat="0" applyAlignment="0" applyProtection="0"/>
    <xf numFmtId="0" fontId="12" fillId="0" borderId="6" applyNumberFormat="0" applyFill="0" applyAlignment="0" applyProtection="0"/>
    <xf numFmtId="0" fontId="13" fillId="8" borderId="7" applyNumberFormat="0" applyAlignment="0" applyProtection="0"/>
    <xf numFmtId="0" fontId="14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Wrong!$H$2:$H$8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13664"/>
        <c:axId val="105715200"/>
      </c:scatterChart>
      <c:valAx>
        <c:axId val="10571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15200"/>
        <c:crosses val="autoZero"/>
        <c:crossBetween val="midCat"/>
      </c:valAx>
      <c:valAx>
        <c:axId val="10571520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713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Wrong!$B$2:$B$8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9008"/>
        <c:axId val="105740544"/>
      </c:scatterChart>
      <c:valAx>
        <c:axId val="10573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40544"/>
        <c:crosses val="autoZero"/>
        <c:crossBetween val="midCat"/>
      </c:valAx>
      <c:valAx>
        <c:axId val="10574054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7390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Wrong!$M$2:$M$8</c:f>
              <c:numCache>
                <c:formatCode>General</c:formatCode>
                <c:ptCount val="7"/>
                <c:pt idx="0">
                  <c:v>0.8</c:v>
                </c:pt>
                <c:pt idx="1">
                  <c:v>0.98</c:v>
                </c:pt>
                <c:pt idx="2">
                  <c:v>0.99880000000000002</c:v>
                </c:pt>
                <c:pt idx="3">
                  <c:v>0.99995199999999995</c:v>
                </c:pt>
                <c:pt idx="4">
                  <c:v>0.99999855999999998</c:v>
                </c:pt>
                <c:pt idx="5">
                  <c:v>0.99999997119999995</c:v>
                </c:pt>
                <c:pt idx="6">
                  <c:v>0.99999999971200004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53600"/>
        <c:axId val="105763584"/>
      </c:scatterChart>
      <c:valAx>
        <c:axId val="10575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763584"/>
        <c:crosses val="autoZero"/>
        <c:crossBetween val="midCat"/>
      </c:valAx>
      <c:valAx>
        <c:axId val="10576358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753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Wrong!$A$2:$A$8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Wrong!$R$2:$R$8</c:f>
              <c:numCache>
                <c:formatCode>General</c:formatCode>
                <c:ptCount val="7"/>
                <c:pt idx="0">
                  <c:v>0.8</c:v>
                </c:pt>
                <c:pt idx="1">
                  <c:v>0.82000000000000006</c:v>
                </c:pt>
                <c:pt idx="2">
                  <c:v>0.82720000000000005</c:v>
                </c:pt>
                <c:pt idx="3">
                  <c:v>0.83065600000000006</c:v>
                </c:pt>
                <c:pt idx="4">
                  <c:v>0.83234944000000011</c:v>
                </c:pt>
                <c:pt idx="5">
                  <c:v>0.8340259456000001</c:v>
                </c:pt>
                <c:pt idx="6">
                  <c:v>0.83568568614400007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35520"/>
        <c:axId val="121837056"/>
      </c:scatterChart>
      <c:valAx>
        <c:axId val="12183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837056"/>
        <c:crosses val="autoZero"/>
        <c:crossBetween val="midCat"/>
      </c:valAx>
      <c:valAx>
        <c:axId val="121837056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835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Calc!$G$1:$G$11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Calc!$I$1:$I$11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1.4324476707308478E-2</c:v>
                </c:pt>
                <c:pt idx="4">
                  <c:v>4.8241595602227079E-2</c:v>
                </c:pt>
                <c:pt idx="5">
                  <c:v>0.2916343646486716</c:v>
                </c:pt>
                <c:pt idx="6">
                  <c:v>0.62432165762210168</c:v>
                </c:pt>
                <c:pt idx="7">
                  <c:v>0.78116851081823957</c:v>
                </c:pt>
                <c:pt idx="8">
                  <c:v>0.85585664951723173</c:v>
                </c:pt>
                <c:pt idx="9">
                  <c:v>0.94284304743110869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72544"/>
        <c:axId val="122174080"/>
      </c:scatterChart>
      <c:valAx>
        <c:axId val="12217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174080"/>
        <c:crosses val="autoZero"/>
        <c:crossBetween val="midCat"/>
      </c:valAx>
      <c:valAx>
        <c:axId val="12217408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1725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Calc!$B$2:$B$11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Calc!$C$2:$C$11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1.4324476707308478E-2</c:v>
                </c:pt>
                <c:pt idx="3">
                  <c:v>4.8241595602227079E-2</c:v>
                </c:pt>
                <c:pt idx="4">
                  <c:v>0.29163436464867154</c:v>
                </c:pt>
                <c:pt idx="5">
                  <c:v>0.62432165762210168</c:v>
                </c:pt>
                <c:pt idx="6">
                  <c:v>0.78116851081823957</c:v>
                </c:pt>
                <c:pt idx="7">
                  <c:v>0.85585664951723173</c:v>
                </c:pt>
                <c:pt idx="8">
                  <c:v>0.94284304743110869</c:v>
                </c:pt>
                <c:pt idx="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85600"/>
        <c:axId val="122187136"/>
      </c:scatterChart>
      <c:valAx>
        <c:axId val="12218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187136"/>
        <c:crosses val="autoZero"/>
        <c:crossBetween val="midCat"/>
      </c:valAx>
      <c:valAx>
        <c:axId val="12218713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185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'Monthly vax uptake-obs'!$G$1:$G$11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'Monthly vax uptake-obs'!$I$1:$I$11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0.16</c:v>
                </c:pt>
                <c:pt idx="3">
                  <c:v>0.35</c:v>
                </c:pt>
                <c:pt idx="4">
                  <c:v>0.48</c:v>
                </c:pt>
                <c:pt idx="5">
                  <c:v>0.51</c:v>
                </c:pt>
                <c:pt idx="6">
                  <c:v>0.55000000000000004</c:v>
                </c:pt>
                <c:pt idx="7">
                  <c:v>0.56999999999999995</c:v>
                </c:pt>
                <c:pt idx="8">
                  <c:v>0.57799999999999996</c:v>
                </c:pt>
                <c:pt idx="9">
                  <c:v>0.58499999999999996</c:v>
                </c:pt>
                <c:pt idx="10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3232"/>
        <c:axId val="122229120"/>
      </c:scatterChart>
      <c:valAx>
        <c:axId val="12222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229120"/>
        <c:crosses val="autoZero"/>
        <c:crossBetween val="midCat"/>
      </c:valAx>
      <c:valAx>
        <c:axId val="12222912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223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'Monthly vax uptake-obs'!$B$2:$B$11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'Monthly vax uptake-obs'!$C$2:$C$11</c:f>
              <c:numCache>
                <c:formatCode>General</c:formatCode>
                <c:ptCount val="10"/>
                <c:pt idx="0">
                  <c:v>0.05</c:v>
                </c:pt>
                <c:pt idx="1">
                  <c:v>0.16</c:v>
                </c:pt>
                <c:pt idx="2">
                  <c:v>0.35</c:v>
                </c:pt>
                <c:pt idx="3">
                  <c:v>0.48</c:v>
                </c:pt>
                <c:pt idx="4">
                  <c:v>0.51</c:v>
                </c:pt>
                <c:pt idx="5">
                  <c:v>0.55000000000000004</c:v>
                </c:pt>
                <c:pt idx="6">
                  <c:v>0.56999999999999995</c:v>
                </c:pt>
                <c:pt idx="7">
                  <c:v>0.57799999999999996</c:v>
                </c:pt>
                <c:pt idx="8">
                  <c:v>0.58499999999999996</c:v>
                </c:pt>
                <c:pt idx="9">
                  <c:v>0.58899999999999997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8848"/>
        <c:axId val="122240384"/>
      </c:scatterChart>
      <c:valAx>
        <c:axId val="122238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240384"/>
        <c:crosses val="autoZero"/>
        <c:crossBetween val="midCat"/>
      </c:valAx>
      <c:valAx>
        <c:axId val="12224038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238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'Monthly vax uptake-100%'!$G$1:$G$11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'Monthly vax uptake-100%'!$I$1:$I$11</c:f>
              <c:numCache>
                <c:formatCode>General</c:formatCode>
                <c:ptCount val="11"/>
                <c:pt idx="0">
                  <c:v>0</c:v>
                </c:pt>
                <c:pt idx="1">
                  <c:v>8.4889643463497463E-2</c:v>
                </c:pt>
                <c:pt idx="2">
                  <c:v>0.27164685908319186</c:v>
                </c:pt>
                <c:pt idx="3">
                  <c:v>0.59422750424448212</c:v>
                </c:pt>
                <c:pt idx="4">
                  <c:v>0.81494057724957558</c:v>
                </c:pt>
                <c:pt idx="5">
                  <c:v>0.86587436332767409</c:v>
                </c:pt>
                <c:pt idx="6">
                  <c:v>0.93378607809847203</c:v>
                </c:pt>
                <c:pt idx="7">
                  <c:v>0.96774193548387089</c:v>
                </c:pt>
                <c:pt idx="8">
                  <c:v>0.9813242784380305</c:v>
                </c:pt>
                <c:pt idx="9">
                  <c:v>0.99320882852292014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0576"/>
        <c:axId val="123339136"/>
      </c:scatterChart>
      <c:valAx>
        <c:axId val="12228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339136"/>
        <c:crosses val="autoZero"/>
        <c:crossBetween val="midCat"/>
      </c:valAx>
      <c:valAx>
        <c:axId val="12333913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22805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'Monthly vax uptake-100%'!$G$1:$G$11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'Monthly vax uptake-100%'!$I$1:$I$11</c:f>
              <c:numCache>
                <c:formatCode>General</c:formatCode>
                <c:ptCount val="11"/>
                <c:pt idx="0">
                  <c:v>0</c:v>
                </c:pt>
                <c:pt idx="1">
                  <c:v>8.4889643463497463E-2</c:v>
                </c:pt>
                <c:pt idx="2">
                  <c:v>0.27164685908319186</c:v>
                </c:pt>
                <c:pt idx="3">
                  <c:v>0.59422750424448212</c:v>
                </c:pt>
                <c:pt idx="4">
                  <c:v>0.81494057724957558</c:v>
                </c:pt>
                <c:pt idx="5">
                  <c:v>0.86587436332767409</c:v>
                </c:pt>
                <c:pt idx="6">
                  <c:v>0.93378607809847203</c:v>
                </c:pt>
                <c:pt idx="7">
                  <c:v>0.96774193548387089</c:v>
                </c:pt>
                <c:pt idx="8">
                  <c:v>0.9813242784380305</c:v>
                </c:pt>
                <c:pt idx="9">
                  <c:v>0.99320882852292014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96096"/>
        <c:axId val="123397632"/>
      </c:scatterChart>
      <c:valAx>
        <c:axId val="12339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397632"/>
        <c:crosses val="autoZero"/>
        <c:crossBetween val="midCat"/>
      </c:valAx>
      <c:valAx>
        <c:axId val="12339763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396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'Monthly vax uptake-100%'!$B$2:$B$11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'Monthly vax uptake-100%'!$C$2:$C$11</c:f>
              <c:numCache>
                <c:formatCode>General</c:formatCode>
                <c:ptCount val="10"/>
                <c:pt idx="0">
                  <c:v>8.4889643463497463E-2</c:v>
                </c:pt>
                <c:pt idx="1">
                  <c:v>0.27164685908319186</c:v>
                </c:pt>
                <c:pt idx="2">
                  <c:v>0.59422750424448212</c:v>
                </c:pt>
                <c:pt idx="3">
                  <c:v>0.81494057724957558</c:v>
                </c:pt>
                <c:pt idx="4">
                  <c:v>0.86587436332767409</c:v>
                </c:pt>
                <c:pt idx="5">
                  <c:v>0.93378607809847203</c:v>
                </c:pt>
                <c:pt idx="6">
                  <c:v>0.96774193548387089</c:v>
                </c:pt>
                <c:pt idx="7">
                  <c:v>0.9813242784380305</c:v>
                </c:pt>
                <c:pt idx="8">
                  <c:v>0.99320882852292014</c:v>
                </c:pt>
                <c:pt idx="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85376"/>
        <c:axId val="127686912"/>
      </c:scatterChart>
      <c:valAx>
        <c:axId val="12768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686912"/>
        <c:crosses val="autoZero"/>
        <c:crossBetween val="midCat"/>
      </c:valAx>
      <c:valAx>
        <c:axId val="12768691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685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'Monthly flu attack-''13-''14'!$G$1:$G$11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'Monthly flu attack-''13-''14'!$I$1:$I$11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1.4324476707308478E-2</c:v>
                </c:pt>
                <c:pt idx="4">
                  <c:v>4.8241595602227079E-2</c:v>
                </c:pt>
                <c:pt idx="5">
                  <c:v>0.2916343646486716</c:v>
                </c:pt>
                <c:pt idx="6">
                  <c:v>0.62432165762210168</c:v>
                </c:pt>
                <c:pt idx="7">
                  <c:v>0.78116851081823957</c:v>
                </c:pt>
                <c:pt idx="8">
                  <c:v>0.85585664951723173</c:v>
                </c:pt>
                <c:pt idx="9">
                  <c:v>0.94284304743110869</c:v>
                </c:pt>
                <c:pt idx="1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92000"/>
        <c:axId val="105393536"/>
      </c:scatterChart>
      <c:valAx>
        <c:axId val="10539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393536"/>
        <c:crosses val="autoZero"/>
        <c:crossBetween val="midCat"/>
      </c:valAx>
      <c:valAx>
        <c:axId val="10539353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392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'Monthly flu attack-''13-''14'!$B$2:$B$11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'Monthly flu attack-''13-''14'!$C$2:$C$11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1.4324476707308478E-2</c:v>
                </c:pt>
                <c:pt idx="3">
                  <c:v>4.8241595602227079E-2</c:v>
                </c:pt>
                <c:pt idx="4">
                  <c:v>0.29163436464867154</c:v>
                </c:pt>
                <c:pt idx="5">
                  <c:v>0.62432165762210168</c:v>
                </c:pt>
                <c:pt idx="6">
                  <c:v>0.78116851081823957</c:v>
                </c:pt>
                <c:pt idx="7">
                  <c:v>0.85585664951723173</c:v>
                </c:pt>
                <c:pt idx="8">
                  <c:v>0.94284304743110869</c:v>
                </c:pt>
                <c:pt idx="9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7824"/>
        <c:axId val="105443712"/>
      </c:scatterChart>
      <c:valAx>
        <c:axId val="1054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5443712"/>
        <c:crosses val="autoZero"/>
        <c:crossBetween val="midCat"/>
      </c:valAx>
      <c:valAx>
        <c:axId val="10544371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4378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409575</xdr:colOff>
      <xdr:row>12</xdr:row>
      <xdr:rowOff>166687</xdr:rowOff>
    </xdr:from>
    <xdr:to>
      <xdr:col>14</xdr:col>
      <xdr:colOff>304800</xdr:colOff>
      <xdr:row>27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476249</xdr:colOff>
      <xdr:row>12</xdr:row>
      <xdr:rowOff>176212</xdr:rowOff>
    </xdr:from>
    <xdr:to>
      <xdr:col>19</xdr:col>
      <xdr:colOff>433386</xdr:colOff>
      <xdr:row>27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16</xdr:col>
      <xdr:colOff>247650</xdr:colOff>
      <xdr:row>27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0</xdr:row>
      <xdr:rowOff>0</xdr:rowOff>
    </xdr:from>
    <xdr:to>
      <xdr:col>18</xdr:col>
      <xdr:colOff>9525</xdr:colOff>
      <xdr:row>22</xdr:row>
      <xdr:rowOff>66675</xdr:rowOff>
    </xdr:to>
    <xdr:pic>
      <xdr:nvPicPr>
        <xdr:cNvPr id="2" name="Picture 1" descr="Figure 2. Influenza Vaccination Coverage Estimates by Influenza Season, Children 6 months-17 years, United State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0"/>
          <a:ext cx="6838950" cy="425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400049</xdr:colOff>
      <xdr:row>12</xdr:row>
      <xdr:rowOff>0</xdr:rowOff>
    </xdr:from>
    <xdr:to>
      <xdr:col>12</xdr:col>
      <xdr:colOff>57150</xdr:colOff>
      <xdr:row>18</xdr:row>
      <xdr:rowOff>104775</xdr:rowOff>
    </xdr:to>
    <xdr:sp macro="" textlink="">
      <xdr:nvSpPr>
        <xdr:cNvPr id="4" name="Rectangle 3"/>
        <xdr:cNvSpPr/>
      </xdr:nvSpPr>
      <xdr:spPr>
        <a:xfrm>
          <a:off x="4667249" y="2286000"/>
          <a:ext cx="2705101" cy="12477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cdc.gov/flu/fluvaxview/coverage-1314estimat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E1" sqref="E1"/>
    </sheetView>
  </sheetViews>
  <sheetFormatPr defaultRowHeight="15" x14ac:dyDescent="0.25"/>
  <sheetData>
    <row r="1" spans="1:19" x14ac:dyDescent="0.25">
      <c r="A1">
        <v>0</v>
      </c>
      <c r="B1">
        <v>0</v>
      </c>
      <c r="F1">
        <v>0</v>
      </c>
      <c r="G1">
        <v>0</v>
      </c>
      <c r="H1" s="1">
        <v>0</v>
      </c>
      <c r="I1" s="1">
        <v>1</v>
      </c>
      <c r="K1">
        <v>0</v>
      </c>
      <c r="L1">
        <v>0</v>
      </c>
      <c r="M1" s="1">
        <v>0</v>
      </c>
      <c r="N1" s="1">
        <v>1</v>
      </c>
      <c r="P1">
        <v>0</v>
      </c>
      <c r="Q1">
        <v>0</v>
      </c>
      <c r="R1" s="1">
        <v>0</v>
      </c>
      <c r="S1" s="1">
        <v>1</v>
      </c>
    </row>
    <row r="2" spans="1:19" x14ac:dyDescent="0.25">
      <c r="A2">
        <v>1</v>
      </c>
      <c r="B2">
        <v>0.8</v>
      </c>
      <c r="F2">
        <v>1</v>
      </c>
      <c r="G2">
        <f t="shared" ref="G2:G8" si="0">(B2-B1)/(1-B1)</f>
        <v>0.8</v>
      </c>
      <c r="H2" s="1">
        <f>G2*I1+H1</f>
        <v>0.8</v>
      </c>
      <c r="I2" s="1">
        <f t="shared" ref="I2:I8" si="1">$I$1-H2</f>
        <v>0.19999999999999996</v>
      </c>
      <c r="K2">
        <v>1</v>
      </c>
      <c r="L2">
        <v>0.8</v>
      </c>
      <c r="M2" s="1">
        <f>L2*N1+M1</f>
        <v>0.8</v>
      </c>
      <c r="N2" s="1">
        <f t="shared" ref="N2:N8" si="2">$I$1-M2</f>
        <v>0.19999999999999996</v>
      </c>
      <c r="P2">
        <v>1</v>
      </c>
      <c r="Q2">
        <v>0.8</v>
      </c>
      <c r="R2" s="1">
        <f>Q2*S1+R1</f>
        <v>0.8</v>
      </c>
      <c r="S2" s="1">
        <f t="shared" ref="S2:S8" si="3">$I$1-R2</f>
        <v>0.19999999999999996</v>
      </c>
    </row>
    <row r="3" spans="1:19" x14ac:dyDescent="0.25">
      <c r="A3">
        <v>2</v>
      </c>
      <c r="B3">
        <v>0.9</v>
      </c>
      <c r="F3">
        <v>2</v>
      </c>
      <c r="G3">
        <f t="shared" si="0"/>
        <v>0.5</v>
      </c>
      <c r="H3" s="1">
        <f t="shared" ref="H3:H8" si="4">G3*I2+H2</f>
        <v>0.9</v>
      </c>
      <c r="I3" s="1">
        <f t="shared" si="1"/>
        <v>9.9999999999999978E-2</v>
      </c>
      <c r="K3">
        <v>2</v>
      </c>
      <c r="L3">
        <v>0.9</v>
      </c>
      <c r="M3" s="1">
        <f t="shared" ref="M3:M8" si="5">L3*N2+M2</f>
        <v>0.98</v>
      </c>
      <c r="N3" s="1">
        <f t="shared" si="2"/>
        <v>2.0000000000000018E-2</v>
      </c>
      <c r="P3">
        <v>2</v>
      </c>
      <c r="Q3">
        <f>L3-L2</f>
        <v>9.9999999999999978E-2</v>
      </c>
      <c r="R3" s="1">
        <f t="shared" ref="R3:R8" si="6">Q3*S2+R2</f>
        <v>0.82000000000000006</v>
      </c>
      <c r="S3" s="1">
        <f t="shared" si="3"/>
        <v>0.17999999999999994</v>
      </c>
    </row>
    <row r="4" spans="1:19" x14ac:dyDescent="0.25">
      <c r="A4">
        <v>3</v>
      </c>
      <c r="B4">
        <v>0.94</v>
      </c>
      <c r="F4">
        <v>3</v>
      </c>
      <c r="G4">
        <f t="shared" si="0"/>
        <v>0.39999999999999936</v>
      </c>
      <c r="H4" s="1">
        <f t="shared" si="4"/>
        <v>0.94</v>
      </c>
      <c r="I4" s="1">
        <f t="shared" si="1"/>
        <v>6.0000000000000053E-2</v>
      </c>
      <c r="K4">
        <v>3</v>
      </c>
      <c r="L4">
        <v>0.94</v>
      </c>
      <c r="M4" s="1">
        <f t="shared" si="5"/>
        <v>0.99880000000000002</v>
      </c>
      <c r="N4" s="1">
        <f t="shared" si="2"/>
        <v>1.1999999999999789E-3</v>
      </c>
      <c r="P4">
        <v>3</v>
      </c>
      <c r="Q4">
        <f t="shared" ref="Q4:Q8" si="7">L4-L3</f>
        <v>3.9999999999999925E-2</v>
      </c>
      <c r="R4" s="1">
        <f t="shared" si="6"/>
        <v>0.82720000000000005</v>
      </c>
      <c r="S4" s="1">
        <f t="shared" si="3"/>
        <v>0.17279999999999995</v>
      </c>
    </row>
    <row r="5" spans="1:19" x14ac:dyDescent="0.25">
      <c r="A5">
        <v>4</v>
      </c>
      <c r="B5">
        <v>0.96</v>
      </c>
      <c r="F5">
        <v>4</v>
      </c>
      <c r="G5">
        <f t="shared" si="0"/>
        <v>0.33333333333333331</v>
      </c>
      <c r="H5" s="1">
        <f t="shared" si="4"/>
        <v>0.96</v>
      </c>
      <c r="I5" s="1">
        <f t="shared" si="1"/>
        <v>4.0000000000000036E-2</v>
      </c>
      <c r="K5">
        <v>4</v>
      </c>
      <c r="L5">
        <v>0.96</v>
      </c>
      <c r="M5" s="1">
        <f t="shared" si="5"/>
        <v>0.99995199999999995</v>
      </c>
      <c r="N5" s="1">
        <f t="shared" si="2"/>
        <v>4.8000000000048004E-5</v>
      </c>
      <c r="P5">
        <v>4</v>
      </c>
      <c r="Q5">
        <f t="shared" si="7"/>
        <v>2.0000000000000018E-2</v>
      </c>
      <c r="R5" s="1">
        <f t="shared" si="6"/>
        <v>0.83065600000000006</v>
      </c>
      <c r="S5" s="1">
        <f t="shared" si="3"/>
        <v>0.16934399999999994</v>
      </c>
    </row>
    <row r="6" spans="1:19" x14ac:dyDescent="0.25">
      <c r="A6">
        <v>5</v>
      </c>
      <c r="B6">
        <v>0.98</v>
      </c>
      <c r="F6">
        <v>5</v>
      </c>
      <c r="G6">
        <f t="shared" si="0"/>
        <v>0.5</v>
      </c>
      <c r="H6" s="1">
        <f t="shared" si="4"/>
        <v>0.98</v>
      </c>
      <c r="I6" s="1">
        <f t="shared" si="1"/>
        <v>2.0000000000000018E-2</v>
      </c>
      <c r="K6">
        <v>5</v>
      </c>
      <c r="L6">
        <v>0.97</v>
      </c>
      <c r="M6" s="1">
        <f t="shared" si="5"/>
        <v>0.99999855999999998</v>
      </c>
      <c r="N6" s="1">
        <f t="shared" si="2"/>
        <v>1.4400000000192037E-6</v>
      </c>
      <c r="P6">
        <v>5</v>
      </c>
      <c r="Q6">
        <f t="shared" si="7"/>
        <v>1.0000000000000009E-2</v>
      </c>
      <c r="R6" s="1">
        <f t="shared" si="6"/>
        <v>0.83234944000000011</v>
      </c>
      <c r="S6" s="1">
        <f t="shared" si="3"/>
        <v>0.16765055999999989</v>
      </c>
    </row>
    <row r="7" spans="1:19" x14ac:dyDescent="0.25">
      <c r="A7">
        <v>6</v>
      </c>
      <c r="B7">
        <v>0.99</v>
      </c>
      <c r="F7">
        <v>6</v>
      </c>
      <c r="G7">
        <f t="shared" si="0"/>
        <v>0.5</v>
      </c>
      <c r="H7" s="1">
        <f t="shared" si="4"/>
        <v>0.99</v>
      </c>
      <c r="I7" s="1">
        <f t="shared" si="1"/>
        <v>1.0000000000000009E-2</v>
      </c>
      <c r="K7">
        <v>6</v>
      </c>
      <c r="L7">
        <v>0.98</v>
      </c>
      <c r="M7" s="1">
        <f t="shared" si="5"/>
        <v>0.99999997119999995</v>
      </c>
      <c r="N7" s="1">
        <f t="shared" si="2"/>
        <v>2.8800000051454333E-8</v>
      </c>
      <c r="P7">
        <v>6</v>
      </c>
      <c r="Q7">
        <f t="shared" si="7"/>
        <v>1.0000000000000009E-2</v>
      </c>
      <c r="R7" s="1">
        <f t="shared" si="6"/>
        <v>0.8340259456000001</v>
      </c>
      <c r="S7" s="1">
        <f t="shared" si="3"/>
        <v>0.1659740543999999</v>
      </c>
    </row>
    <row r="8" spans="1:19" x14ac:dyDescent="0.25">
      <c r="A8">
        <v>7</v>
      </c>
      <c r="B8">
        <v>1</v>
      </c>
      <c r="F8">
        <v>7</v>
      </c>
      <c r="G8">
        <f t="shared" si="0"/>
        <v>1</v>
      </c>
      <c r="H8" s="1">
        <f t="shared" si="4"/>
        <v>1</v>
      </c>
      <c r="I8" s="1">
        <f t="shared" si="1"/>
        <v>0</v>
      </c>
      <c r="K8">
        <v>7</v>
      </c>
      <c r="L8">
        <v>0.99</v>
      </c>
      <c r="M8" s="1">
        <f t="shared" si="5"/>
        <v>0.99999999971200004</v>
      </c>
      <c r="N8" s="1">
        <f t="shared" si="2"/>
        <v>2.8799995721584537E-10</v>
      </c>
      <c r="P8">
        <v>7</v>
      </c>
      <c r="Q8">
        <f t="shared" si="7"/>
        <v>1.0000000000000009E-2</v>
      </c>
      <c r="R8" s="1">
        <f t="shared" si="6"/>
        <v>0.83568568614400007</v>
      </c>
      <c r="S8" s="1">
        <f t="shared" si="3"/>
        <v>0.16431431385599993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C2" sqref="C2:C11"/>
    </sheetView>
  </sheetViews>
  <sheetFormatPr defaultRowHeight="15" x14ac:dyDescent="0.25"/>
  <sheetData>
    <row r="1" spans="1:10" x14ac:dyDescent="0.25">
      <c r="B1">
        <v>0</v>
      </c>
      <c r="C1">
        <v>0</v>
      </c>
      <c r="G1">
        <v>0</v>
      </c>
      <c r="H1">
        <v>0</v>
      </c>
      <c r="I1" s="1">
        <v>0</v>
      </c>
      <c r="J1" s="1">
        <v>1</v>
      </c>
    </row>
    <row r="2" spans="1:10" x14ac:dyDescent="0.25">
      <c r="A2" t="s">
        <v>0</v>
      </c>
      <c r="B2">
        <v>1</v>
      </c>
      <c r="C2" s="3">
        <v>0</v>
      </c>
      <c r="F2" t="s">
        <v>0</v>
      </c>
      <c r="G2">
        <v>1</v>
      </c>
      <c r="H2">
        <f t="shared" ref="H2:H11" si="0">(C2-C1)/(1-C1)</f>
        <v>0</v>
      </c>
      <c r="I2" s="1">
        <f>H2*J1+I1</f>
        <v>0</v>
      </c>
      <c r="J2" s="1">
        <f t="shared" ref="J2:J8" si="1">$J$1-I2</f>
        <v>1</v>
      </c>
    </row>
    <row r="3" spans="1:10" x14ac:dyDescent="0.25">
      <c r="A3" t="s">
        <v>1</v>
      </c>
      <c r="B3">
        <v>2</v>
      </c>
      <c r="C3" s="3">
        <v>0</v>
      </c>
      <c r="D3" s="3"/>
      <c r="F3" t="s">
        <v>1</v>
      </c>
      <c r="G3">
        <v>2</v>
      </c>
      <c r="H3">
        <f t="shared" si="0"/>
        <v>0</v>
      </c>
      <c r="I3" s="1">
        <f t="shared" ref="I3:I11" si="2">H3*J2+I2</f>
        <v>0</v>
      </c>
      <c r="J3" s="1">
        <f t="shared" si="1"/>
        <v>1</v>
      </c>
    </row>
    <row r="4" spans="1:10" x14ac:dyDescent="0.25">
      <c r="A4" t="s">
        <v>2</v>
      </c>
      <c r="B4">
        <v>3</v>
      </c>
      <c r="C4" s="3">
        <v>1.4324476707308478E-2</v>
      </c>
      <c r="D4" s="3"/>
      <c r="F4" t="s">
        <v>2</v>
      </c>
      <c r="G4">
        <v>3</v>
      </c>
      <c r="H4">
        <f t="shared" si="0"/>
        <v>1.4324476707308478E-2</v>
      </c>
      <c r="I4" s="1">
        <f t="shared" si="2"/>
        <v>1.4324476707308478E-2</v>
      </c>
      <c r="J4" s="1">
        <f t="shared" si="1"/>
        <v>0.98567552329269148</v>
      </c>
    </row>
    <row r="5" spans="1:10" x14ac:dyDescent="0.25">
      <c r="A5" t="s">
        <v>3</v>
      </c>
      <c r="B5">
        <v>4</v>
      </c>
      <c r="C5" s="3">
        <v>4.8241595602227079E-2</v>
      </c>
      <c r="D5" s="3"/>
      <c r="F5" t="s">
        <v>3</v>
      </c>
      <c r="G5">
        <v>4</v>
      </c>
      <c r="H5">
        <f t="shared" si="0"/>
        <v>3.4410024489212238E-2</v>
      </c>
      <c r="I5" s="1">
        <f t="shared" si="2"/>
        <v>4.8241595602227079E-2</v>
      </c>
      <c r="J5" s="1">
        <f t="shared" si="1"/>
        <v>0.95175840439777293</v>
      </c>
    </row>
    <row r="6" spans="1:10" x14ac:dyDescent="0.25">
      <c r="A6" t="s">
        <v>4</v>
      </c>
      <c r="B6">
        <v>5</v>
      </c>
      <c r="C6" s="3">
        <v>0.29163436464867154</v>
      </c>
      <c r="D6" s="3"/>
      <c r="F6" t="s">
        <v>4</v>
      </c>
      <c r="G6">
        <v>5</v>
      </c>
      <c r="H6">
        <f t="shared" si="0"/>
        <v>0.25572957162427346</v>
      </c>
      <c r="I6" s="1">
        <f t="shared" si="2"/>
        <v>0.2916343646486716</v>
      </c>
      <c r="J6" s="1">
        <f t="shared" si="1"/>
        <v>0.70836563535132835</v>
      </c>
    </row>
    <row r="7" spans="1:10" x14ac:dyDescent="0.25">
      <c r="A7" t="s">
        <v>5</v>
      </c>
      <c r="B7">
        <v>6</v>
      </c>
      <c r="C7" s="3">
        <v>0.62432165762210168</v>
      </c>
      <c r="D7" s="3"/>
      <c r="F7" t="s">
        <v>5</v>
      </c>
      <c r="G7">
        <v>6</v>
      </c>
      <c r="H7">
        <f t="shared" si="0"/>
        <v>0.46965476072032636</v>
      </c>
      <c r="I7" s="1">
        <f t="shared" si="2"/>
        <v>0.62432165762210168</v>
      </c>
      <c r="J7" s="1">
        <f t="shared" si="1"/>
        <v>0.37567834237789832</v>
      </c>
    </row>
    <row r="8" spans="1:10" x14ac:dyDescent="0.25">
      <c r="A8" t="s">
        <v>6</v>
      </c>
      <c r="B8">
        <v>7</v>
      </c>
      <c r="C8" s="3">
        <v>0.78116851081823957</v>
      </c>
      <c r="D8" s="3"/>
      <c r="F8" t="s">
        <v>6</v>
      </c>
      <c r="G8">
        <v>7</v>
      </c>
      <c r="H8">
        <f t="shared" si="0"/>
        <v>0.41750304849451286</v>
      </c>
      <c r="I8" s="1">
        <f t="shared" si="2"/>
        <v>0.78116851081823957</v>
      </c>
      <c r="J8" s="1">
        <f t="shared" si="1"/>
        <v>0.21883148918176043</v>
      </c>
    </row>
    <row r="9" spans="1:10" x14ac:dyDescent="0.25">
      <c r="A9" t="s">
        <v>7</v>
      </c>
      <c r="B9">
        <v>8</v>
      </c>
      <c r="C9" s="3">
        <v>0.85585664951723173</v>
      </c>
      <c r="D9" s="3"/>
      <c r="F9" t="s">
        <v>7</v>
      </c>
      <c r="G9">
        <v>8</v>
      </c>
      <c r="H9">
        <f t="shared" si="0"/>
        <v>0.34130434782608698</v>
      </c>
      <c r="I9" s="1">
        <f t="shared" si="2"/>
        <v>0.85585664951723173</v>
      </c>
      <c r="J9" s="1">
        <f t="shared" ref="J9:J11" si="3">$J$1-I9</f>
        <v>0.14414335048276827</v>
      </c>
    </row>
    <row r="10" spans="1:10" x14ac:dyDescent="0.25">
      <c r="A10" t="s">
        <v>8</v>
      </c>
      <c r="B10">
        <v>9</v>
      </c>
      <c r="C10" s="3">
        <v>0.94284304743110869</v>
      </c>
      <c r="D10" s="3"/>
      <c r="F10" t="s">
        <v>8</v>
      </c>
      <c r="G10">
        <v>9</v>
      </c>
      <c r="H10">
        <f t="shared" si="0"/>
        <v>0.60347145825693727</v>
      </c>
      <c r="I10" s="1">
        <f t="shared" si="2"/>
        <v>0.94284304743110869</v>
      </c>
      <c r="J10" s="1">
        <f t="shared" si="3"/>
        <v>5.7156952568891306E-2</v>
      </c>
    </row>
    <row r="11" spans="1:10" x14ac:dyDescent="0.25">
      <c r="A11" t="s">
        <v>9</v>
      </c>
      <c r="B11">
        <v>10</v>
      </c>
      <c r="C11" s="3">
        <v>1</v>
      </c>
      <c r="D11" s="3"/>
      <c r="F11" t="s">
        <v>9</v>
      </c>
      <c r="G11">
        <v>10</v>
      </c>
      <c r="H11">
        <f t="shared" si="0"/>
        <v>1</v>
      </c>
      <c r="I11" s="1">
        <f t="shared" si="2"/>
        <v>1</v>
      </c>
      <c r="J11" s="1">
        <f t="shared" si="3"/>
        <v>0</v>
      </c>
    </row>
    <row r="12" spans="1:10" x14ac:dyDescent="0.25">
      <c r="C12" s="2"/>
    </row>
    <row r="13" spans="1:10" x14ac:dyDescent="0.25">
      <c r="C13" s="2"/>
    </row>
    <row r="14" spans="1:10" x14ac:dyDescent="0.25">
      <c r="C14" s="2"/>
    </row>
    <row r="15" spans="1:10" x14ac:dyDescent="0.25">
      <c r="C15" s="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1"/>
  <sheetViews>
    <sheetView workbookViewId="0">
      <selection activeCell="G1" sqref="G1:H11"/>
    </sheetView>
  </sheetViews>
  <sheetFormatPr defaultRowHeight="15" x14ac:dyDescent="0.25"/>
  <cols>
    <col min="1" max="16384" width="9.140625" style="3"/>
  </cols>
  <sheetData>
    <row r="1" spans="1:10" x14ac:dyDescent="0.25">
      <c r="B1" s="3">
        <v>0</v>
      </c>
      <c r="C1" s="3">
        <v>0</v>
      </c>
      <c r="G1" s="3">
        <v>0</v>
      </c>
      <c r="H1" s="3">
        <v>0</v>
      </c>
      <c r="I1" s="1">
        <v>0</v>
      </c>
      <c r="J1" s="1">
        <v>1</v>
      </c>
    </row>
    <row r="2" spans="1:10" x14ac:dyDescent="0.25">
      <c r="A2" s="3" t="s">
        <v>0</v>
      </c>
      <c r="B2" s="3">
        <v>1</v>
      </c>
      <c r="C2" s="3">
        <v>0.05</v>
      </c>
      <c r="F2" s="3" t="s">
        <v>0</v>
      </c>
      <c r="G2" s="3">
        <v>1</v>
      </c>
      <c r="H2" s="3">
        <f t="shared" ref="H2:H11" si="0">(C2-C1)/(1-C1)</f>
        <v>0.05</v>
      </c>
      <c r="I2" s="1">
        <f>H2*J1+I1</f>
        <v>0.05</v>
      </c>
      <c r="J2" s="1">
        <f t="shared" ref="J2:J11" si="1">$J$1-I2</f>
        <v>0.95</v>
      </c>
    </row>
    <row r="3" spans="1:10" x14ac:dyDescent="0.25">
      <c r="A3" s="3" t="s">
        <v>1</v>
      </c>
      <c r="B3" s="3">
        <v>2</v>
      </c>
      <c r="C3" s="3">
        <v>0.16</v>
      </c>
      <c r="F3" s="3" t="s">
        <v>1</v>
      </c>
      <c r="G3" s="3">
        <v>2</v>
      </c>
      <c r="H3" s="3">
        <f t="shared" si="0"/>
        <v>0.11578947368421053</v>
      </c>
      <c r="I3" s="1">
        <f t="shared" ref="I3:I11" si="2">H3*J2+I2</f>
        <v>0.16</v>
      </c>
      <c r="J3" s="1">
        <f t="shared" si="1"/>
        <v>0.84</v>
      </c>
    </row>
    <row r="4" spans="1:10" x14ac:dyDescent="0.25">
      <c r="A4" s="3" t="s">
        <v>2</v>
      </c>
      <c r="B4" s="3">
        <v>3</v>
      </c>
      <c r="C4" s="3">
        <v>0.35</v>
      </c>
      <c r="F4" s="3" t="s">
        <v>2</v>
      </c>
      <c r="G4" s="3">
        <v>3</v>
      </c>
      <c r="H4" s="3">
        <f t="shared" si="0"/>
        <v>0.22619047619047616</v>
      </c>
      <c r="I4" s="1">
        <f t="shared" si="2"/>
        <v>0.35</v>
      </c>
      <c r="J4" s="1">
        <f t="shared" si="1"/>
        <v>0.65</v>
      </c>
    </row>
    <row r="5" spans="1:10" x14ac:dyDescent="0.25">
      <c r="A5" s="3" t="s">
        <v>3</v>
      </c>
      <c r="B5" s="3">
        <v>4</v>
      </c>
      <c r="C5" s="3">
        <v>0.48</v>
      </c>
      <c r="F5" s="3" t="s">
        <v>3</v>
      </c>
      <c r="G5" s="3">
        <v>4</v>
      </c>
      <c r="H5" s="3">
        <f t="shared" si="0"/>
        <v>0.2</v>
      </c>
      <c r="I5" s="1">
        <f t="shared" si="2"/>
        <v>0.48</v>
      </c>
      <c r="J5" s="1">
        <f t="shared" si="1"/>
        <v>0.52</v>
      </c>
    </row>
    <row r="6" spans="1:10" x14ac:dyDescent="0.25">
      <c r="A6" s="3" t="s">
        <v>4</v>
      </c>
      <c r="B6" s="3">
        <v>5</v>
      </c>
      <c r="C6" s="3">
        <v>0.51</v>
      </c>
      <c r="F6" s="3" t="s">
        <v>4</v>
      </c>
      <c r="G6" s="3">
        <v>5</v>
      </c>
      <c r="H6" s="3">
        <f t="shared" si="0"/>
        <v>5.7692307692307744E-2</v>
      </c>
      <c r="I6" s="1">
        <f t="shared" si="2"/>
        <v>0.51</v>
      </c>
      <c r="J6" s="1">
        <f t="shared" si="1"/>
        <v>0.49</v>
      </c>
    </row>
    <row r="7" spans="1:10" x14ac:dyDescent="0.25">
      <c r="A7" s="3" t="s">
        <v>5</v>
      </c>
      <c r="B7" s="3">
        <v>6</v>
      </c>
      <c r="C7" s="3">
        <v>0.55000000000000004</v>
      </c>
      <c r="F7" s="3" t="s">
        <v>5</v>
      </c>
      <c r="G7" s="3">
        <v>6</v>
      </c>
      <c r="H7" s="3">
        <f t="shared" si="0"/>
        <v>8.1632653061224567E-2</v>
      </c>
      <c r="I7" s="1">
        <f t="shared" si="2"/>
        <v>0.55000000000000004</v>
      </c>
      <c r="J7" s="1">
        <f t="shared" si="1"/>
        <v>0.44999999999999996</v>
      </c>
    </row>
    <row r="8" spans="1:10" x14ac:dyDescent="0.25">
      <c r="A8" s="3" t="s">
        <v>6</v>
      </c>
      <c r="B8" s="3">
        <v>7</v>
      </c>
      <c r="C8" s="3">
        <v>0.56999999999999995</v>
      </c>
      <c r="F8" s="3" t="s">
        <v>6</v>
      </c>
      <c r="G8" s="3">
        <v>7</v>
      </c>
      <c r="H8" s="3">
        <f t="shared" si="0"/>
        <v>4.4444444444444245E-2</v>
      </c>
      <c r="I8" s="1">
        <f t="shared" si="2"/>
        <v>0.56999999999999995</v>
      </c>
      <c r="J8" s="1">
        <f t="shared" si="1"/>
        <v>0.43000000000000005</v>
      </c>
    </row>
    <row r="9" spans="1:10" x14ac:dyDescent="0.25">
      <c r="A9" s="3" t="s">
        <v>7</v>
      </c>
      <c r="B9" s="3">
        <v>8</v>
      </c>
      <c r="C9" s="3">
        <v>0.57799999999999996</v>
      </c>
      <c r="F9" s="3" t="s">
        <v>7</v>
      </c>
      <c r="G9" s="3">
        <v>8</v>
      </c>
      <c r="H9" s="3">
        <f t="shared" si="0"/>
        <v>1.8604651162790711E-2</v>
      </c>
      <c r="I9" s="1">
        <f t="shared" si="2"/>
        <v>0.57799999999999996</v>
      </c>
      <c r="J9" s="1">
        <f t="shared" si="1"/>
        <v>0.42200000000000004</v>
      </c>
    </row>
    <row r="10" spans="1:10" x14ac:dyDescent="0.25">
      <c r="A10" s="3" t="s">
        <v>8</v>
      </c>
      <c r="B10" s="3">
        <v>9</v>
      </c>
      <c r="C10" s="3">
        <v>0.58499999999999996</v>
      </c>
      <c r="F10" s="3" t="s">
        <v>8</v>
      </c>
      <c r="G10" s="3">
        <v>9</v>
      </c>
      <c r="H10" s="3">
        <f t="shared" si="0"/>
        <v>1.6587677725118495E-2</v>
      </c>
      <c r="I10" s="1">
        <f t="shared" si="2"/>
        <v>0.58499999999999996</v>
      </c>
      <c r="J10" s="1">
        <f t="shared" si="1"/>
        <v>0.41500000000000004</v>
      </c>
    </row>
    <row r="11" spans="1:10" x14ac:dyDescent="0.25">
      <c r="A11" s="3" t="s">
        <v>9</v>
      </c>
      <c r="B11" s="3">
        <v>10</v>
      </c>
      <c r="C11" s="3">
        <v>0.58899999999999997</v>
      </c>
      <c r="F11" s="3" t="s">
        <v>9</v>
      </c>
      <c r="G11" s="3">
        <v>10</v>
      </c>
      <c r="H11" s="3">
        <f t="shared" si="0"/>
        <v>9.6385542168674777E-3</v>
      </c>
      <c r="I11" s="1">
        <f t="shared" si="2"/>
        <v>0.58899999999999997</v>
      </c>
      <c r="J11" s="1">
        <f t="shared" si="1"/>
        <v>0.41100000000000003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P11"/>
  <sheetViews>
    <sheetView workbookViewId="0">
      <selection activeCell="G1" sqref="G1:H11"/>
    </sheetView>
  </sheetViews>
  <sheetFormatPr defaultRowHeight="15" x14ac:dyDescent="0.25"/>
  <cols>
    <col min="1" max="16384" width="9.140625" style="3"/>
  </cols>
  <sheetData>
    <row r="1" spans="1:16" x14ac:dyDescent="0.25">
      <c r="B1" s="3">
        <v>0</v>
      </c>
      <c r="C1" s="3">
        <v>0</v>
      </c>
      <c r="G1" s="3">
        <v>0</v>
      </c>
      <c r="H1" s="3">
        <v>0</v>
      </c>
      <c r="I1" s="1">
        <v>0</v>
      </c>
      <c r="J1" s="1">
        <v>1</v>
      </c>
      <c r="O1" s="3">
        <v>0.58899999999999997</v>
      </c>
      <c r="P1" s="3">
        <f>1/O1</f>
        <v>1.6977928692699491</v>
      </c>
    </row>
    <row r="2" spans="1:16" x14ac:dyDescent="0.25">
      <c r="A2" s="3" t="s">
        <v>0</v>
      </c>
      <c r="B2" s="3">
        <v>1</v>
      </c>
      <c r="C2" s="3">
        <v>8.4889643463497463E-2</v>
      </c>
      <c r="F2" s="3" t="s">
        <v>0</v>
      </c>
      <c r="G2" s="3">
        <v>1</v>
      </c>
      <c r="H2" s="3">
        <f t="shared" ref="H2:H11" si="0">(C2-C1)/(1-C1)</f>
        <v>8.4889643463497463E-2</v>
      </c>
      <c r="I2" s="1">
        <f>H2*J1+I1</f>
        <v>8.4889643463497463E-2</v>
      </c>
      <c r="J2" s="1">
        <f t="shared" ref="J2:J11" si="1">$J$1-I2</f>
        <v>0.91511035653650252</v>
      </c>
    </row>
    <row r="3" spans="1:16" x14ac:dyDescent="0.25">
      <c r="A3" s="3" t="s">
        <v>1</v>
      </c>
      <c r="B3" s="3">
        <v>2</v>
      </c>
      <c r="C3" s="3">
        <v>0.27164685908319186</v>
      </c>
      <c r="F3" s="3" t="s">
        <v>1</v>
      </c>
      <c r="G3" s="3">
        <v>2</v>
      </c>
      <c r="H3" s="3">
        <f t="shared" si="0"/>
        <v>0.2040816326530612</v>
      </c>
      <c r="I3" s="1">
        <f t="shared" ref="I3:I11" si="2">H3*J2+I2</f>
        <v>0.27164685908319186</v>
      </c>
      <c r="J3" s="1">
        <f t="shared" si="1"/>
        <v>0.72835314091680814</v>
      </c>
    </row>
    <row r="4" spans="1:16" x14ac:dyDescent="0.25">
      <c r="A4" s="3" t="s">
        <v>2</v>
      </c>
      <c r="B4" s="3">
        <v>3</v>
      </c>
      <c r="C4" s="3">
        <v>0.59422750424448212</v>
      </c>
      <c r="F4" s="3" t="s">
        <v>2</v>
      </c>
      <c r="G4" s="3">
        <v>3</v>
      </c>
      <c r="H4" s="3">
        <f t="shared" si="0"/>
        <v>0.44289044289044283</v>
      </c>
      <c r="I4" s="1">
        <f t="shared" si="2"/>
        <v>0.59422750424448212</v>
      </c>
      <c r="J4" s="1">
        <f t="shared" si="1"/>
        <v>0.40577249575551788</v>
      </c>
    </row>
    <row r="5" spans="1:16" x14ac:dyDescent="0.25">
      <c r="A5" s="3" t="s">
        <v>3</v>
      </c>
      <c r="B5" s="3">
        <v>4</v>
      </c>
      <c r="C5" s="3">
        <v>0.81494057724957558</v>
      </c>
      <c r="F5" s="3" t="s">
        <v>3</v>
      </c>
      <c r="G5" s="3">
        <v>4</v>
      </c>
      <c r="H5" s="3">
        <f t="shared" si="0"/>
        <v>0.54393305439330553</v>
      </c>
      <c r="I5" s="1">
        <f t="shared" si="2"/>
        <v>0.81494057724957558</v>
      </c>
      <c r="J5" s="1">
        <f t="shared" si="1"/>
        <v>0.18505942275042442</v>
      </c>
    </row>
    <row r="6" spans="1:16" x14ac:dyDescent="0.25">
      <c r="A6" s="3" t="s">
        <v>4</v>
      </c>
      <c r="B6" s="3">
        <v>5</v>
      </c>
      <c r="C6" s="3">
        <v>0.86587436332767409</v>
      </c>
      <c r="F6" s="3" t="s">
        <v>4</v>
      </c>
      <c r="G6" s="3">
        <v>5</v>
      </c>
      <c r="H6" s="3">
        <f t="shared" si="0"/>
        <v>0.27522935779816537</v>
      </c>
      <c r="I6" s="1">
        <f t="shared" si="2"/>
        <v>0.86587436332767409</v>
      </c>
      <c r="J6" s="1">
        <f t="shared" si="1"/>
        <v>0.13412563667232591</v>
      </c>
    </row>
    <row r="7" spans="1:16" x14ac:dyDescent="0.25">
      <c r="A7" s="3" t="s">
        <v>5</v>
      </c>
      <c r="B7" s="3">
        <v>6</v>
      </c>
      <c r="C7" s="3">
        <v>0.93378607809847203</v>
      </c>
      <c r="F7" s="3" t="s">
        <v>5</v>
      </c>
      <c r="G7" s="3">
        <v>6</v>
      </c>
      <c r="H7" s="3">
        <f t="shared" si="0"/>
        <v>0.50632911392405067</v>
      </c>
      <c r="I7" s="1">
        <f t="shared" si="2"/>
        <v>0.93378607809847203</v>
      </c>
      <c r="J7" s="1">
        <f t="shared" si="1"/>
        <v>6.6213921901527972E-2</v>
      </c>
    </row>
    <row r="8" spans="1:16" x14ac:dyDescent="0.25">
      <c r="A8" s="3" t="s">
        <v>6</v>
      </c>
      <c r="B8" s="3">
        <v>7</v>
      </c>
      <c r="C8" s="3">
        <v>0.96774193548387089</v>
      </c>
      <c r="F8" s="3" t="s">
        <v>6</v>
      </c>
      <c r="G8" s="3">
        <v>7</v>
      </c>
      <c r="H8" s="3">
        <f t="shared" si="0"/>
        <v>0.51282051282051122</v>
      </c>
      <c r="I8" s="1">
        <f t="shared" si="2"/>
        <v>0.96774193548387089</v>
      </c>
      <c r="J8" s="1">
        <f t="shared" si="1"/>
        <v>3.2258064516129115E-2</v>
      </c>
    </row>
    <row r="9" spans="1:16" x14ac:dyDescent="0.25">
      <c r="A9" s="3" t="s">
        <v>7</v>
      </c>
      <c r="B9" s="3">
        <v>8</v>
      </c>
      <c r="C9" s="3">
        <v>0.9813242784380305</v>
      </c>
      <c r="F9" s="3" t="s">
        <v>7</v>
      </c>
      <c r="G9" s="3">
        <v>8</v>
      </c>
      <c r="H9" s="3">
        <f t="shared" si="0"/>
        <v>0.42105263157894685</v>
      </c>
      <c r="I9" s="1">
        <f t="shared" si="2"/>
        <v>0.9813242784380305</v>
      </c>
      <c r="J9" s="1">
        <f t="shared" si="1"/>
        <v>1.8675721561969505E-2</v>
      </c>
    </row>
    <row r="10" spans="1:16" x14ac:dyDescent="0.25">
      <c r="A10" s="3" t="s">
        <v>8</v>
      </c>
      <c r="B10" s="3">
        <v>9</v>
      </c>
      <c r="C10" s="3">
        <v>0.99320882852292014</v>
      </c>
      <c r="F10" s="3" t="s">
        <v>8</v>
      </c>
      <c r="G10" s="3">
        <v>9</v>
      </c>
      <c r="H10" s="3">
        <f t="shared" si="0"/>
        <v>0.63636363636363424</v>
      </c>
      <c r="I10" s="1">
        <f t="shared" si="2"/>
        <v>0.99320882852292014</v>
      </c>
      <c r="J10" s="1">
        <f t="shared" si="1"/>
        <v>6.7911714770798604E-3</v>
      </c>
    </row>
    <row r="11" spans="1:16" x14ac:dyDescent="0.25">
      <c r="A11" s="3" t="s">
        <v>9</v>
      </c>
      <c r="B11" s="3">
        <v>10</v>
      </c>
      <c r="C11" s="3">
        <v>1</v>
      </c>
      <c r="F11" s="3" t="s">
        <v>9</v>
      </c>
      <c r="G11" s="3">
        <v>10</v>
      </c>
      <c r="H11" s="3">
        <f t="shared" si="0"/>
        <v>1</v>
      </c>
      <c r="I11" s="1">
        <f t="shared" si="2"/>
        <v>1</v>
      </c>
      <c r="J11" s="1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K19" sqref="K19"/>
    </sheetView>
  </sheetViews>
  <sheetFormatPr defaultRowHeight="15" x14ac:dyDescent="0.25"/>
  <cols>
    <col min="2" max="2" width="6.85546875" bestFit="1" customWidth="1"/>
    <col min="3" max="3" width="14.85546875" bestFit="1" customWidth="1"/>
    <col min="4" max="4" width="24" bestFit="1" customWidth="1"/>
    <col min="5" max="5" width="18.85546875" bestFit="1" customWidth="1"/>
    <col min="8" max="8" width="17.5703125" customWidth="1"/>
  </cols>
  <sheetData>
    <row r="1" spans="1:12" x14ac:dyDescent="0.25">
      <c r="A1" s="3" t="s">
        <v>10</v>
      </c>
      <c r="B1" s="3"/>
      <c r="C1" s="3"/>
      <c r="D1" s="3"/>
      <c r="E1" s="3"/>
    </row>
    <row r="3" spans="1:12" x14ac:dyDescent="0.25">
      <c r="A3" s="4" t="s">
        <v>11</v>
      </c>
      <c r="B3" s="4" t="s">
        <v>12</v>
      </c>
      <c r="C3" s="3" t="s">
        <v>13</v>
      </c>
      <c r="D3" s="3" t="s">
        <v>14</v>
      </c>
      <c r="E3" s="3" t="s">
        <v>15</v>
      </c>
      <c r="H3" t="s">
        <v>19</v>
      </c>
      <c r="I3" t="s">
        <v>20</v>
      </c>
      <c r="L3" t="s">
        <v>24</v>
      </c>
    </row>
    <row r="4" spans="1:12" x14ac:dyDescent="0.25">
      <c r="A4" s="3">
        <v>2013</v>
      </c>
      <c r="B4" s="3"/>
      <c r="C4" s="5"/>
      <c r="D4" s="5"/>
      <c r="E4" s="5"/>
    </row>
    <row r="5" spans="1:12" x14ac:dyDescent="0.25">
      <c r="A5" s="3"/>
      <c r="B5" s="3">
        <v>10</v>
      </c>
      <c r="C5" s="5">
        <v>813</v>
      </c>
      <c r="D5" s="5">
        <v>22296</v>
      </c>
      <c r="E5" s="5">
        <v>3.6463939720129172E-2</v>
      </c>
      <c r="G5" s="3" t="s">
        <v>0</v>
      </c>
      <c r="H5">
        <v>0</v>
      </c>
      <c r="I5">
        <v>0</v>
      </c>
      <c r="K5" t="s">
        <v>0</v>
      </c>
      <c r="L5">
        <v>0</v>
      </c>
    </row>
    <row r="6" spans="1:12" x14ac:dyDescent="0.25">
      <c r="A6" s="3"/>
      <c r="B6" s="3">
        <v>11</v>
      </c>
      <c r="C6" s="5">
        <v>1925</v>
      </c>
      <c r="D6" s="5">
        <v>28116</v>
      </c>
      <c r="E6" s="5">
        <v>6.8466353677621286E-2</v>
      </c>
      <c r="G6" s="3" t="s">
        <v>23</v>
      </c>
      <c r="H6">
        <v>0</v>
      </c>
      <c r="I6">
        <v>0</v>
      </c>
      <c r="K6" t="s">
        <v>23</v>
      </c>
      <c r="L6">
        <v>0</v>
      </c>
    </row>
    <row r="7" spans="1:12" x14ac:dyDescent="0.25">
      <c r="A7" s="3"/>
      <c r="B7" s="3">
        <v>12</v>
      </c>
      <c r="C7" s="5">
        <v>13814</v>
      </c>
      <c r="D7" s="5">
        <v>57812</v>
      </c>
      <c r="E7" s="5">
        <v>0.23894693143292051</v>
      </c>
      <c r="G7" s="3" t="s">
        <v>2</v>
      </c>
      <c r="H7">
        <f>C5/$C$16</f>
        <v>1.4324476707308478E-2</v>
      </c>
      <c r="I7">
        <f>I6+H7</f>
        <v>1.4324476707308478E-2</v>
      </c>
      <c r="K7" t="s">
        <v>2</v>
      </c>
      <c r="L7">
        <v>1.4324476707308478E-2</v>
      </c>
    </row>
    <row r="8" spans="1:12" x14ac:dyDescent="0.25">
      <c r="A8" s="3">
        <v>2014</v>
      </c>
      <c r="B8" s="3"/>
      <c r="C8" s="5"/>
      <c r="D8" s="5"/>
      <c r="E8" s="5"/>
      <c r="G8" s="3" t="s">
        <v>3</v>
      </c>
      <c r="H8" s="3">
        <f>C6/$C$16</f>
        <v>3.3917118894918601E-2</v>
      </c>
      <c r="I8" s="3">
        <f t="shared" ref="I8:I16" si="0">I7+H8</f>
        <v>4.8241595602227079E-2</v>
      </c>
      <c r="K8" t="s">
        <v>3</v>
      </c>
      <c r="L8">
        <v>4.8241595602227079E-2</v>
      </c>
    </row>
    <row r="9" spans="1:12" x14ac:dyDescent="0.25">
      <c r="A9" s="3"/>
      <c r="B9" s="3">
        <v>1</v>
      </c>
      <c r="C9" s="5">
        <v>18882</v>
      </c>
      <c r="D9" s="5">
        <v>69628</v>
      </c>
      <c r="E9" s="5">
        <v>0.27118400643419316</v>
      </c>
      <c r="G9" s="3" t="s">
        <v>4</v>
      </c>
      <c r="H9" s="3">
        <f>C7/$C$16</f>
        <v>0.24339276904644444</v>
      </c>
      <c r="I9" s="3">
        <f t="shared" si="0"/>
        <v>0.29163436464867154</v>
      </c>
      <c r="K9" s="3" t="s">
        <v>4</v>
      </c>
      <c r="L9">
        <v>0.29163436464867154</v>
      </c>
    </row>
    <row r="10" spans="1:12" x14ac:dyDescent="0.25">
      <c r="A10" s="3"/>
      <c r="B10" s="3">
        <v>2</v>
      </c>
      <c r="C10" s="5">
        <v>8902</v>
      </c>
      <c r="D10" s="5">
        <v>50190</v>
      </c>
      <c r="E10" s="5">
        <v>0.17736600916517234</v>
      </c>
      <c r="G10" s="3" t="s">
        <v>5</v>
      </c>
      <c r="H10" s="3">
        <f t="shared" ref="H10:H16" si="1">C9/$C$16</f>
        <v>0.33268729297343014</v>
      </c>
      <c r="I10" s="3">
        <f t="shared" si="0"/>
        <v>0.62432165762210168</v>
      </c>
      <c r="K10" s="3" t="s">
        <v>5</v>
      </c>
      <c r="L10">
        <v>0.62432165762210168</v>
      </c>
    </row>
    <row r="11" spans="1:12" x14ac:dyDescent="0.25">
      <c r="A11" s="3"/>
      <c r="B11" s="3">
        <v>3</v>
      </c>
      <c r="C11" s="5">
        <v>4239</v>
      </c>
      <c r="D11" s="5">
        <v>36640</v>
      </c>
      <c r="E11" s="5">
        <v>0.11569323144104804</v>
      </c>
      <c r="G11" s="3" t="s">
        <v>6</v>
      </c>
      <c r="H11" s="3">
        <f t="shared" si="1"/>
        <v>0.15684685319613786</v>
      </c>
      <c r="I11" s="3">
        <f t="shared" si="0"/>
        <v>0.78116851081823957</v>
      </c>
      <c r="K11" s="3" t="s">
        <v>6</v>
      </c>
      <c r="L11">
        <v>0.78116851081823957</v>
      </c>
    </row>
    <row r="12" spans="1:12" x14ac:dyDescent="0.25">
      <c r="A12" s="3"/>
      <c r="B12" s="3">
        <v>4</v>
      </c>
      <c r="C12" s="5">
        <v>4937</v>
      </c>
      <c r="D12" s="5">
        <v>35457</v>
      </c>
      <c r="E12" s="5">
        <v>0.13923907832021887</v>
      </c>
      <c r="G12" s="3" t="s">
        <v>7</v>
      </c>
      <c r="H12" s="3">
        <f t="shared" si="1"/>
        <v>7.4688138698992171E-2</v>
      </c>
      <c r="I12" s="3">
        <f t="shared" si="0"/>
        <v>0.85585664951723173</v>
      </c>
      <c r="K12" s="3" t="s">
        <v>7</v>
      </c>
      <c r="L12">
        <v>0.85585664951723173</v>
      </c>
    </row>
    <row r="13" spans="1:12" x14ac:dyDescent="0.25">
      <c r="A13" s="3"/>
      <c r="B13" s="3">
        <v>5</v>
      </c>
      <c r="C13" s="5">
        <v>2288</v>
      </c>
      <c r="D13" s="5">
        <v>21393</v>
      </c>
      <c r="E13" s="5">
        <v>0.10695087178048894</v>
      </c>
      <c r="G13" s="3" t="s">
        <v>8</v>
      </c>
      <c r="H13" s="3">
        <f t="shared" si="1"/>
        <v>8.6986397913876953E-2</v>
      </c>
      <c r="I13" s="3">
        <f t="shared" si="0"/>
        <v>0.94284304743110869</v>
      </c>
      <c r="K13" s="3" t="s">
        <v>8</v>
      </c>
      <c r="L13">
        <v>0.94284304743110869</v>
      </c>
    </row>
    <row r="14" spans="1:12" x14ac:dyDescent="0.25">
      <c r="A14" s="3"/>
      <c r="B14" s="3">
        <v>8</v>
      </c>
      <c r="C14" s="5">
        <v>413</v>
      </c>
      <c r="D14" s="5">
        <v>12414</v>
      </c>
      <c r="E14" s="5">
        <v>3.326888996294506E-2</v>
      </c>
      <c r="G14" s="3" t="s">
        <v>9</v>
      </c>
      <c r="H14" s="3">
        <f t="shared" si="1"/>
        <v>4.0312918457960395E-2</v>
      </c>
      <c r="I14" s="3">
        <f t="shared" si="0"/>
        <v>0.98315596588906906</v>
      </c>
      <c r="K14" s="3" t="s">
        <v>9</v>
      </c>
      <c r="L14">
        <v>1</v>
      </c>
    </row>
    <row r="15" spans="1:12" x14ac:dyDescent="0.25">
      <c r="A15" s="3"/>
      <c r="B15" s="3">
        <v>9</v>
      </c>
      <c r="C15" s="5">
        <v>543</v>
      </c>
      <c r="D15" s="5">
        <v>21924</v>
      </c>
      <c r="E15" s="5">
        <v>2.4767378215654078E-2</v>
      </c>
      <c r="G15" s="3" t="s">
        <v>21</v>
      </c>
      <c r="H15" s="3">
        <f t="shared" si="1"/>
        <v>7.2767636901825356E-3</v>
      </c>
      <c r="I15" s="3">
        <f t="shared" si="0"/>
        <v>0.99043272957925155</v>
      </c>
    </row>
    <row r="16" spans="1:12" x14ac:dyDescent="0.25">
      <c r="A16" s="3" t="s">
        <v>16</v>
      </c>
      <c r="B16" s="3"/>
      <c r="C16" s="5">
        <v>56756</v>
      </c>
      <c r="D16" s="5">
        <v>355870</v>
      </c>
      <c r="E16" s="5">
        <v>0.15948520527158794</v>
      </c>
      <c r="G16" s="3" t="s">
        <v>22</v>
      </c>
      <c r="H16" s="3">
        <f t="shared" si="1"/>
        <v>9.5672704207484666E-3</v>
      </c>
      <c r="I16" s="3">
        <f t="shared" si="0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J11"/>
  <sheetViews>
    <sheetView tabSelected="1" workbookViewId="0">
      <selection activeCell="G1" sqref="G1:H11"/>
    </sheetView>
  </sheetViews>
  <sheetFormatPr defaultRowHeight="15" x14ac:dyDescent="0.25"/>
  <cols>
    <col min="1" max="16384" width="9.140625" style="3"/>
  </cols>
  <sheetData>
    <row r="1" spans="1:10" x14ac:dyDescent="0.25">
      <c r="B1" s="3">
        <v>0</v>
      </c>
      <c r="C1" s="3">
        <v>0</v>
      </c>
      <c r="G1" s="3">
        <v>0</v>
      </c>
      <c r="H1" s="3">
        <v>0</v>
      </c>
      <c r="I1" s="1">
        <v>0</v>
      </c>
      <c r="J1" s="1">
        <v>1</v>
      </c>
    </row>
    <row r="2" spans="1:10" x14ac:dyDescent="0.25">
      <c r="A2" s="3" t="s">
        <v>0</v>
      </c>
      <c r="B2" s="3">
        <v>1</v>
      </c>
      <c r="C2" s="3">
        <v>0</v>
      </c>
      <c r="F2" s="3" t="s">
        <v>0</v>
      </c>
      <c r="G2" s="3">
        <v>1</v>
      </c>
      <c r="H2" s="3">
        <f t="shared" ref="H2:H11" si="0">(C2-C1)/(1-C1)</f>
        <v>0</v>
      </c>
      <c r="I2" s="1">
        <f>H2*J1+I1</f>
        <v>0</v>
      </c>
      <c r="J2" s="1">
        <f t="shared" ref="J2:J11" si="1">$J$1-I2</f>
        <v>1</v>
      </c>
    </row>
    <row r="3" spans="1:10" x14ac:dyDescent="0.25">
      <c r="A3" s="3" t="s">
        <v>1</v>
      </c>
      <c r="B3" s="3">
        <v>2</v>
      </c>
      <c r="C3" s="3">
        <v>0</v>
      </c>
      <c r="F3" s="3" t="s">
        <v>1</v>
      </c>
      <c r="G3" s="3">
        <v>2</v>
      </c>
      <c r="H3" s="3">
        <f t="shared" si="0"/>
        <v>0</v>
      </c>
      <c r="I3" s="1">
        <f t="shared" ref="I3:I11" si="2">H3*J2+I2</f>
        <v>0</v>
      </c>
      <c r="J3" s="1">
        <f t="shared" si="1"/>
        <v>1</v>
      </c>
    </row>
    <row r="4" spans="1:10" x14ac:dyDescent="0.25">
      <c r="A4" s="3" t="s">
        <v>2</v>
      </c>
      <c r="B4" s="3">
        <v>3</v>
      </c>
      <c r="C4" s="3">
        <v>1.4324476707308478E-2</v>
      </c>
      <c r="F4" s="3" t="s">
        <v>2</v>
      </c>
      <c r="G4" s="3">
        <v>3</v>
      </c>
      <c r="H4" s="3">
        <f t="shared" si="0"/>
        <v>1.4324476707308478E-2</v>
      </c>
      <c r="I4" s="1">
        <f t="shared" si="2"/>
        <v>1.4324476707308478E-2</v>
      </c>
      <c r="J4" s="1">
        <f t="shared" si="1"/>
        <v>0.98567552329269148</v>
      </c>
    </row>
    <row r="5" spans="1:10" x14ac:dyDescent="0.25">
      <c r="A5" s="3" t="s">
        <v>3</v>
      </c>
      <c r="B5" s="3">
        <v>4</v>
      </c>
      <c r="C5" s="3">
        <v>4.8241595602227079E-2</v>
      </c>
      <c r="F5" s="3" t="s">
        <v>3</v>
      </c>
      <c r="G5" s="3">
        <v>4</v>
      </c>
      <c r="H5" s="3">
        <f t="shared" si="0"/>
        <v>3.4410024489212238E-2</v>
      </c>
      <c r="I5" s="1">
        <f t="shared" si="2"/>
        <v>4.8241595602227079E-2</v>
      </c>
      <c r="J5" s="1">
        <f t="shared" si="1"/>
        <v>0.95175840439777293</v>
      </c>
    </row>
    <row r="6" spans="1:10" x14ac:dyDescent="0.25">
      <c r="A6" s="3" t="s">
        <v>4</v>
      </c>
      <c r="B6" s="3">
        <v>5</v>
      </c>
      <c r="C6" s="3">
        <v>0.29163436464867154</v>
      </c>
      <c r="F6" s="3" t="s">
        <v>4</v>
      </c>
      <c r="G6" s="3">
        <v>5</v>
      </c>
      <c r="H6" s="3">
        <f t="shared" si="0"/>
        <v>0.25572957162427346</v>
      </c>
      <c r="I6" s="1">
        <f t="shared" si="2"/>
        <v>0.2916343646486716</v>
      </c>
      <c r="J6" s="1">
        <f t="shared" si="1"/>
        <v>0.70836563535132835</v>
      </c>
    </row>
    <row r="7" spans="1:10" x14ac:dyDescent="0.25">
      <c r="A7" s="3" t="s">
        <v>5</v>
      </c>
      <c r="B7" s="3">
        <v>6</v>
      </c>
      <c r="C7" s="3">
        <v>0.62432165762210168</v>
      </c>
      <c r="F7" s="3" t="s">
        <v>5</v>
      </c>
      <c r="G7" s="3">
        <v>6</v>
      </c>
      <c r="H7" s="3">
        <f t="shared" si="0"/>
        <v>0.46965476072032636</v>
      </c>
      <c r="I7" s="1">
        <f t="shared" si="2"/>
        <v>0.62432165762210168</v>
      </c>
      <c r="J7" s="1">
        <f t="shared" si="1"/>
        <v>0.37567834237789832</v>
      </c>
    </row>
    <row r="8" spans="1:10" x14ac:dyDescent="0.25">
      <c r="A8" s="3" t="s">
        <v>6</v>
      </c>
      <c r="B8" s="3">
        <v>7</v>
      </c>
      <c r="C8" s="3">
        <v>0.78116851081823957</v>
      </c>
      <c r="F8" s="3" t="s">
        <v>6</v>
      </c>
      <c r="G8" s="3">
        <v>7</v>
      </c>
      <c r="H8" s="3">
        <f t="shared" si="0"/>
        <v>0.41750304849451286</v>
      </c>
      <c r="I8" s="1">
        <f t="shared" si="2"/>
        <v>0.78116851081823957</v>
      </c>
      <c r="J8" s="1">
        <f t="shared" si="1"/>
        <v>0.21883148918176043</v>
      </c>
    </row>
    <row r="9" spans="1:10" x14ac:dyDescent="0.25">
      <c r="A9" s="3" t="s">
        <v>7</v>
      </c>
      <c r="B9" s="3">
        <v>8</v>
      </c>
      <c r="C9" s="3">
        <v>0.85585664951723173</v>
      </c>
      <c r="F9" s="3" t="s">
        <v>7</v>
      </c>
      <c r="G9" s="3">
        <v>8</v>
      </c>
      <c r="H9" s="3">
        <f t="shared" si="0"/>
        <v>0.34130434782608698</v>
      </c>
      <c r="I9" s="1">
        <f t="shared" si="2"/>
        <v>0.85585664951723173</v>
      </c>
      <c r="J9" s="1">
        <f t="shared" si="1"/>
        <v>0.14414335048276827</v>
      </c>
    </row>
    <row r="10" spans="1:10" x14ac:dyDescent="0.25">
      <c r="A10" s="3" t="s">
        <v>8</v>
      </c>
      <c r="B10" s="3">
        <v>9</v>
      </c>
      <c r="C10" s="3">
        <v>0.94284304743110869</v>
      </c>
      <c r="F10" s="3" t="s">
        <v>8</v>
      </c>
      <c r="G10" s="3">
        <v>9</v>
      </c>
      <c r="H10" s="3">
        <f t="shared" si="0"/>
        <v>0.60347145825693727</v>
      </c>
      <c r="I10" s="1">
        <f t="shared" si="2"/>
        <v>0.94284304743110869</v>
      </c>
      <c r="J10" s="1">
        <f t="shared" si="1"/>
        <v>5.7156952568891306E-2</v>
      </c>
    </row>
    <row r="11" spans="1:10" x14ac:dyDescent="0.25">
      <c r="A11" s="3" t="s">
        <v>9</v>
      </c>
      <c r="B11" s="3">
        <v>10</v>
      </c>
      <c r="C11" s="3">
        <v>1</v>
      </c>
      <c r="F11" s="3" t="s">
        <v>9</v>
      </c>
      <c r="G11" s="3">
        <v>10</v>
      </c>
      <c r="H11" s="3">
        <f t="shared" si="0"/>
        <v>1</v>
      </c>
      <c r="I11" s="1">
        <f t="shared" si="2"/>
        <v>1</v>
      </c>
      <c r="J11" s="1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3" sqref="C3:C12"/>
    </sheetView>
  </sheetViews>
  <sheetFormatPr defaultRowHeight="15" x14ac:dyDescent="0.25"/>
  <sheetData>
    <row r="1" spans="1:3" x14ac:dyDescent="0.25">
      <c r="A1" s="6" t="s">
        <v>17</v>
      </c>
    </row>
    <row r="2" spans="1:3" x14ac:dyDescent="0.25">
      <c r="A2" t="s">
        <v>18</v>
      </c>
    </row>
    <row r="3" spans="1:3" x14ac:dyDescent="0.25">
      <c r="A3" s="3" t="s">
        <v>0</v>
      </c>
      <c r="B3" s="3">
        <v>1</v>
      </c>
      <c r="C3">
        <v>0.05</v>
      </c>
    </row>
    <row r="4" spans="1:3" x14ac:dyDescent="0.25">
      <c r="A4" s="3" t="s">
        <v>1</v>
      </c>
      <c r="B4" s="3">
        <v>2</v>
      </c>
      <c r="C4">
        <v>0.16</v>
      </c>
    </row>
    <row r="5" spans="1:3" x14ac:dyDescent="0.25">
      <c r="A5" s="3" t="s">
        <v>2</v>
      </c>
      <c r="B5" s="3">
        <v>3</v>
      </c>
      <c r="C5">
        <v>0.35</v>
      </c>
    </row>
    <row r="6" spans="1:3" x14ac:dyDescent="0.25">
      <c r="A6" s="3" t="s">
        <v>3</v>
      </c>
      <c r="B6" s="3">
        <v>4</v>
      </c>
      <c r="C6">
        <v>0.48</v>
      </c>
    </row>
    <row r="7" spans="1:3" x14ac:dyDescent="0.25">
      <c r="A7" s="3" t="s">
        <v>4</v>
      </c>
      <c r="B7" s="3">
        <v>5</v>
      </c>
      <c r="C7">
        <v>0.51</v>
      </c>
    </row>
    <row r="8" spans="1:3" x14ac:dyDescent="0.25">
      <c r="A8" s="3" t="s">
        <v>5</v>
      </c>
      <c r="B8" s="3">
        <v>6</v>
      </c>
      <c r="C8">
        <v>0.55000000000000004</v>
      </c>
    </row>
    <row r="9" spans="1:3" x14ac:dyDescent="0.25">
      <c r="A9" s="3" t="s">
        <v>6</v>
      </c>
      <c r="B9" s="3">
        <v>7</v>
      </c>
      <c r="C9">
        <v>0.56999999999999995</v>
      </c>
    </row>
    <row r="10" spans="1:3" x14ac:dyDescent="0.25">
      <c r="A10" s="3" t="s">
        <v>7</v>
      </c>
      <c r="B10" s="3">
        <v>8</v>
      </c>
      <c r="C10">
        <v>0.57799999999999996</v>
      </c>
    </row>
    <row r="11" spans="1:3" x14ac:dyDescent="0.25">
      <c r="A11" s="3" t="s">
        <v>8</v>
      </c>
      <c r="B11" s="3">
        <v>9</v>
      </c>
      <c r="C11">
        <v>0.58499999999999996</v>
      </c>
    </row>
    <row r="12" spans="1:3" x14ac:dyDescent="0.25">
      <c r="A12" s="3" t="s">
        <v>9</v>
      </c>
      <c r="B12" s="3">
        <v>10</v>
      </c>
      <c r="C12">
        <v>0.58899999999999997</v>
      </c>
    </row>
  </sheetData>
  <hyperlinks>
    <hyperlink ref="A1" r:id="rId1" location="by-month-children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Wrong</vt:lpstr>
      <vt:lpstr>Calc</vt:lpstr>
      <vt:lpstr>Monthly vax uptake-obs</vt:lpstr>
      <vt:lpstr>Monthly vax uptake-100%</vt:lpstr>
      <vt:lpstr>FluView2013</vt:lpstr>
      <vt:lpstr>Monthly flu attack-'13-'14</vt:lpstr>
      <vt:lpstr>FluVaxView2013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Smith, Kenneth</cp:lastModifiedBy>
  <dcterms:created xsi:type="dcterms:W3CDTF">2014-10-01T16:05:07Z</dcterms:created>
  <dcterms:modified xsi:type="dcterms:W3CDTF">2014-10-09T17:50:06Z</dcterms:modified>
</cp:coreProperties>
</file>