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jraviotta\OneDrive\Documents\treeage\NIH Flu Modeling\Data\"/>
    </mc:Choice>
  </mc:AlternateContent>
  <bookViews>
    <workbookView xWindow="19305" yWindow="195" windowWidth="18060" windowHeight="11640"/>
  </bookViews>
  <sheets>
    <sheet name="Sheet1" sheetId="1" r:id="rId1"/>
    <sheet name="Sheet2" sheetId="2" r:id="rId2"/>
    <sheet name="Calculations" sheetId="3" r:id="rId3"/>
  </sheets>
  <calcPr calcId="152511"/>
</workbook>
</file>

<file path=xl/calcChain.xml><?xml version="1.0" encoding="utf-8"?>
<calcChain xmlns="http://schemas.openxmlformats.org/spreadsheetml/2006/main">
  <c r="E8" i="1" l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F7" i="1"/>
  <c r="G7" i="1"/>
  <c r="E7" i="1"/>
  <c r="F62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5" i="2"/>
  <c r="E6" i="2"/>
  <c r="G6" i="2"/>
  <c r="E7" i="2"/>
  <c r="G7" i="2"/>
  <c r="E8" i="2"/>
  <c r="G8" i="2"/>
  <c r="E9" i="2"/>
  <c r="G9" i="2"/>
  <c r="E10" i="2"/>
  <c r="G10" i="2"/>
  <c r="E11" i="2"/>
  <c r="G11" i="2"/>
  <c r="E12" i="2"/>
  <c r="G12" i="2"/>
  <c r="E13" i="2"/>
  <c r="G13" i="2"/>
  <c r="E14" i="2"/>
  <c r="G14" i="2"/>
  <c r="E15" i="2"/>
  <c r="G15" i="2"/>
  <c r="E16" i="2"/>
  <c r="G16" i="2"/>
  <c r="E17" i="2"/>
  <c r="G17" i="2"/>
  <c r="E18" i="2"/>
  <c r="G18" i="2"/>
  <c r="E19" i="2"/>
  <c r="G19" i="2"/>
  <c r="E20" i="2"/>
  <c r="G20" i="2"/>
  <c r="E21" i="2"/>
  <c r="G21" i="2"/>
  <c r="E22" i="2"/>
  <c r="G22" i="2"/>
  <c r="E23" i="2"/>
  <c r="G23" i="2"/>
  <c r="E24" i="2"/>
  <c r="G24" i="2"/>
  <c r="E25" i="2"/>
  <c r="G25" i="2"/>
  <c r="E26" i="2"/>
  <c r="G26" i="2"/>
  <c r="E27" i="2"/>
  <c r="G27" i="2"/>
  <c r="E28" i="2"/>
  <c r="G28" i="2"/>
  <c r="E29" i="2"/>
  <c r="G29" i="2"/>
  <c r="E30" i="2"/>
  <c r="G30" i="2"/>
  <c r="E31" i="2"/>
  <c r="G31" i="2"/>
  <c r="E32" i="2"/>
  <c r="G32" i="2"/>
  <c r="E33" i="2"/>
  <c r="G33" i="2"/>
  <c r="E34" i="2"/>
  <c r="G34" i="2"/>
  <c r="E35" i="2"/>
  <c r="G35" i="2"/>
  <c r="E36" i="2"/>
  <c r="G36" i="2"/>
  <c r="E37" i="2"/>
  <c r="G37" i="2"/>
  <c r="E38" i="2"/>
  <c r="G38" i="2"/>
  <c r="E39" i="2"/>
  <c r="G39" i="2"/>
  <c r="E40" i="2"/>
  <c r="G40" i="2"/>
  <c r="E41" i="2"/>
  <c r="G41" i="2"/>
  <c r="E42" i="2"/>
  <c r="G42" i="2"/>
  <c r="E43" i="2"/>
  <c r="G43" i="2"/>
  <c r="E44" i="2"/>
  <c r="G44" i="2"/>
  <c r="E45" i="2"/>
  <c r="G45" i="2"/>
  <c r="E46" i="2"/>
  <c r="G46" i="2"/>
  <c r="E47" i="2"/>
  <c r="G47" i="2"/>
  <c r="E48" i="2"/>
  <c r="G48" i="2"/>
  <c r="E49" i="2"/>
  <c r="G49" i="2"/>
  <c r="E50" i="2"/>
  <c r="G50" i="2"/>
  <c r="E51" i="2"/>
  <c r="G51" i="2"/>
  <c r="E52" i="2"/>
  <c r="G52" i="2"/>
  <c r="E53" i="2"/>
  <c r="G53" i="2"/>
  <c r="E54" i="2"/>
  <c r="G54" i="2"/>
  <c r="E55" i="2"/>
  <c r="G55" i="2"/>
  <c r="E56" i="2"/>
  <c r="G56" i="2"/>
  <c r="E57" i="2"/>
  <c r="G57" i="2"/>
  <c r="E58" i="2"/>
  <c r="G58" i="2"/>
  <c r="E59" i="2"/>
  <c r="G59" i="2"/>
  <c r="E60" i="2"/>
  <c r="G60" i="2"/>
  <c r="E61" i="2"/>
  <c r="G61" i="2"/>
  <c r="E62" i="2"/>
  <c r="G62" i="2"/>
  <c r="E63" i="2"/>
  <c r="G63" i="2"/>
  <c r="E64" i="2"/>
  <c r="G64" i="2"/>
  <c r="E65" i="2"/>
  <c r="G65" i="2"/>
  <c r="E66" i="2"/>
  <c r="G66" i="2"/>
  <c r="E67" i="2"/>
  <c r="G67" i="2"/>
  <c r="E68" i="2"/>
  <c r="G68" i="2"/>
  <c r="E69" i="2"/>
  <c r="G69" i="2"/>
  <c r="E70" i="2"/>
  <c r="G70" i="2"/>
  <c r="E71" i="2"/>
  <c r="G71" i="2"/>
  <c r="E72" i="2"/>
  <c r="G72" i="2"/>
  <c r="E73" i="2"/>
  <c r="G73" i="2"/>
  <c r="E74" i="2"/>
  <c r="G74" i="2"/>
  <c r="E75" i="2"/>
  <c r="G75" i="2"/>
  <c r="E76" i="2"/>
  <c r="G76" i="2"/>
  <c r="E77" i="2"/>
  <c r="G77" i="2"/>
  <c r="E78" i="2"/>
  <c r="G78" i="2"/>
  <c r="E79" i="2"/>
  <c r="G79" i="2"/>
  <c r="E80" i="2"/>
  <c r="G80" i="2"/>
  <c r="E81" i="2"/>
  <c r="G81" i="2"/>
  <c r="E82" i="2"/>
  <c r="G82" i="2"/>
  <c r="E83" i="2"/>
  <c r="G83" i="2"/>
  <c r="E84" i="2"/>
  <c r="G84" i="2"/>
  <c r="E85" i="2"/>
  <c r="G85" i="2"/>
  <c r="E86" i="2"/>
  <c r="G86" i="2"/>
  <c r="E87" i="2"/>
  <c r="G87" i="2"/>
  <c r="E88" i="2"/>
  <c r="G88" i="2"/>
  <c r="E89" i="2"/>
  <c r="G89" i="2"/>
  <c r="E90" i="2"/>
  <c r="G90" i="2"/>
  <c r="E91" i="2"/>
  <c r="G91" i="2"/>
  <c r="E92" i="2"/>
  <c r="G92" i="2"/>
  <c r="E93" i="2"/>
  <c r="G93" i="2"/>
  <c r="E94" i="2"/>
  <c r="G94" i="2"/>
  <c r="E95" i="2"/>
  <c r="G95" i="2"/>
  <c r="E96" i="2"/>
  <c r="G96" i="2"/>
  <c r="E97" i="2"/>
  <c r="G97" i="2"/>
  <c r="E98" i="2"/>
  <c r="G98" i="2"/>
  <c r="E99" i="2"/>
  <c r="G99" i="2"/>
  <c r="E100" i="2"/>
  <c r="G100" i="2"/>
  <c r="E101" i="2"/>
  <c r="G101" i="2"/>
  <c r="E102" i="2"/>
  <c r="G102" i="2"/>
  <c r="E103" i="2"/>
  <c r="G103" i="2"/>
  <c r="E104" i="2"/>
  <c r="G104" i="2"/>
  <c r="E105" i="2"/>
  <c r="G105" i="2"/>
  <c r="E106" i="2"/>
  <c r="G106" i="2"/>
  <c r="E107" i="2"/>
  <c r="G107" i="2"/>
  <c r="E108" i="2"/>
  <c r="G108" i="2"/>
  <c r="E109" i="2"/>
  <c r="G109" i="2"/>
  <c r="E110" i="2"/>
  <c r="G110" i="2"/>
  <c r="E111" i="2"/>
  <c r="G111" i="2"/>
  <c r="E112" i="2"/>
  <c r="G112" i="2"/>
  <c r="E113" i="2"/>
  <c r="G113" i="2"/>
  <c r="E114" i="2"/>
  <c r="G114" i="2"/>
  <c r="E115" i="2"/>
  <c r="G115" i="2"/>
  <c r="E116" i="2"/>
  <c r="G116" i="2"/>
  <c r="E117" i="2"/>
  <c r="G117" i="2"/>
  <c r="E118" i="2"/>
  <c r="G118" i="2"/>
  <c r="E119" i="2"/>
  <c r="G119" i="2"/>
  <c r="E120" i="2"/>
  <c r="G120" i="2"/>
  <c r="E121" i="2"/>
  <c r="G121" i="2"/>
  <c r="E122" i="2"/>
  <c r="G122" i="2"/>
  <c r="E123" i="2"/>
  <c r="G123" i="2"/>
  <c r="E124" i="2"/>
  <c r="G124" i="2"/>
  <c r="E125" i="2"/>
  <c r="G125" i="2"/>
  <c r="E126" i="2"/>
  <c r="G126" i="2"/>
  <c r="E127" i="2"/>
  <c r="G127" i="2"/>
  <c r="E128" i="2"/>
  <c r="G128" i="2"/>
  <c r="E129" i="2"/>
  <c r="G129" i="2"/>
  <c r="E130" i="2"/>
  <c r="G130" i="2"/>
  <c r="E131" i="2"/>
  <c r="G131" i="2"/>
  <c r="E132" i="2"/>
  <c r="G132" i="2"/>
  <c r="E133" i="2"/>
  <c r="G133" i="2"/>
  <c r="E134" i="2"/>
  <c r="G134" i="2"/>
  <c r="E135" i="2"/>
  <c r="G135" i="2"/>
  <c r="E136" i="2"/>
  <c r="G136" i="2"/>
  <c r="E137" i="2"/>
  <c r="G137" i="2"/>
  <c r="E138" i="2"/>
  <c r="G138" i="2"/>
  <c r="E139" i="2"/>
  <c r="G139" i="2"/>
  <c r="E140" i="2"/>
  <c r="G140" i="2"/>
  <c r="E141" i="2"/>
  <c r="G141" i="2"/>
  <c r="E142" i="2"/>
  <c r="G142" i="2"/>
  <c r="E143" i="2"/>
  <c r="G143" i="2"/>
  <c r="E144" i="2"/>
  <c r="G144" i="2"/>
  <c r="E145" i="2"/>
  <c r="G145" i="2"/>
  <c r="E146" i="2"/>
  <c r="G146" i="2"/>
  <c r="E147" i="2"/>
  <c r="G147" i="2"/>
  <c r="E148" i="2"/>
  <c r="G148" i="2"/>
  <c r="E149" i="2"/>
  <c r="G149" i="2"/>
  <c r="E150" i="2"/>
  <c r="G150" i="2"/>
  <c r="E151" i="2"/>
  <c r="G151" i="2"/>
  <c r="E152" i="2"/>
  <c r="G152" i="2"/>
  <c r="E153" i="2"/>
  <c r="G153" i="2"/>
  <c r="E154" i="2"/>
  <c r="G154" i="2"/>
  <c r="E155" i="2"/>
  <c r="G155" i="2"/>
  <c r="E156" i="2"/>
  <c r="G156" i="2"/>
  <c r="E157" i="2"/>
  <c r="G157" i="2"/>
  <c r="E158" i="2"/>
  <c r="G158" i="2"/>
  <c r="E159" i="2"/>
  <c r="G159" i="2"/>
  <c r="E160" i="2"/>
  <c r="G160" i="2"/>
  <c r="E161" i="2"/>
  <c r="G161" i="2"/>
  <c r="E162" i="2"/>
  <c r="G162" i="2"/>
  <c r="E163" i="2"/>
  <c r="G163" i="2"/>
  <c r="E164" i="2"/>
  <c r="G164" i="2"/>
  <c r="E165" i="2"/>
  <c r="G165" i="2"/>
  <c r="E166" i="2"/>
  <c r="G166" i="2"/>
  <c r="E167" i="2"/>
  <c r="G167" i="2"/>
  <c r="E168" i="2"/>
  <c r="G168" i="2"/>
  <c r="E169" i="2"/>
  <c r="G169" i="2"/>
  <c r="E170" i="2"/>
  <c r="G170" i="2"/>
  <c r="E171" i="2"/>
  <c r="G171" i="2"/>
  <c r="E172" i="2"/>
  <c r="G172" i="2"/>
  <c r="E173" i="2"/>
  <c r="G173" i="2"/>
  <c r="E174" i="2"/>
  <c r="G174" i="2"/>
  <c r="E175" i="2"/>
  <c r="G175" i="2"/>
  <c r="E176" i="2"/>
  <c r="G176" i="2"/>
  <c r="E177" i="2"/>
  <c r="G177" i="2"/>
  <c r="E178" i="2"/>
  <c r="G178" i="2"/>
  <c r="E179" i="2"/>
  <c r="G179" i="2"/>
  <c r="E180" i="2"/>
  <c r="G180" i="2"/>
  <c r="E181" i="2"/>
  <c r="G181" i="2"/>
  <c r="E182" i="2"/>
  <c r="G182" i="2"/>
  <c r="E183" i="2"/>
  <c r="G183" i="2"/>
  <c r="E184" i="2"/>
  <c r="G184" i="2"/>
  <c r="E185" i="2"/>
  <c r="G185" i="2"/>
  <c r="E186" i="2"/>
  <c r="G186" i="2"/>
  <c r="E187" i="2"/>
  <c r="G187" i="2"/>
  <c r="E188" i="2"/>
  <c r="G188" i="2"/>
  <c r="E189" i="2"/>
  <c r="G189" i="2"/>
  <c r="E190" i="2"/>
  <c r="G190" i="2"/>
  <c r="E191" i="2"/>
  <c r="G191" i="2"/>
  <c r="E192" i="2"/>
  <c r="G192" i="2"/>
  <c r="E193" i="2"/>
  <c r="G193" i="2"/>
  <c r="E194" i="2"/>
  <c r="G194" i="2"/>
  <c r="E195" i="2"/>
  <c r="G195" i="2"/>
  <c r="E196" i="2"/>
  <c r="G196" i="2"/>
  <c r="E197" i="2"/>
  <c r="G197" i="2"/>
  <c r="E198" i="2"/>
  <c r="G198" i="2"/>
  <c r="E199" i="2"/>
  <c r="G199" i="2"/>
  <c r="E200" i="2"/>
  <c r="G200" i="2"/>
  <c r="E201" i="2"/>
  <c r="G201" i="2"/>
  <c r="E202" i="2"/>
  <c r="G202" i="2"/>
  <c r="E203" i="2"/>
  <c r="G203" i="2"/>
  <c r="E204" i="2"/>
  <c r="G204" i="2"/>
  <c r="E205" i="2"/>
  <c r="G205" i="2"/>
  <c r="E206" i="2"/>
  <c r="G206" i="2"/>
  <c r="E207" i="2"/>
  <c r="G207" i="2"/>
  <c r="E208" i="2"/>
  <c r="G208" i="2"/>
  <c r="E209" i="2"/>
  <c r="G209" i="2"/>
  <c r="E210" i="2"/>
  <c r="G210" i="2"/>
  <c r="E211" i="2"/>
  <c r="G211" i="2"/>
  <c r="E212" i="2"/>
  <c r="G212" i="2"/>
  <c r="E213" i="2"/>
  <c r="G213" i="2"/>
  <c r="E214" i="2"/>
  <c r="G214" i="2"/>
  <c r="E215" i="2"/>
  <c r="G215" i="2"/>
  <c r="E216" i="2"/>
  <c r="G216" i="2"/>
  <c r="E217" i="2"/>
  <c r="G217" i="2"/>
  <c r="E218" i="2"/>
  <c r="G218" i="2"/>
  <c r="E219" i="2"/>
  <c r="G219" i="2"/>
  <c r="E220" i="2"/>
  <c r="G220" i="2"/>
  <c r="E221" i="2"/>
  <c r="G221" i="2"/>
  <c r="E222" i="2"/>
  <c r="G222" i="2"/>
  <c r="E223" i="2"/>
  <c r="G223" i="2"/>
  <c r="E224" i="2"/>
  <c r="G224" i="2"/>
  <c r="E225" i="2"/>
  <c r="G225" i="2"/>
  <c r="E226" i="2"/>
  <c r="G226" i="2"/>
  <c r="E227" i="2"/>
  <c r="G227" i="2"/>
  <c r="E228" i="2"/>
  <c r="G228" i="2"/>
  <c r="E229" i="2"/>
  <c r="G229" i="2"/>
  <c r="E230" i="2"/>
  <c r="G230" i="2"/>
  <c r="E231" i="2"/>
  <c r="G231" i="2"/>
  <c r="E232" i="2"/>
  <c r="G232" i="2"/>
  <c r="E233" i="2"/>
  <c r="G233" i="2"/>
  <c r="E234" i="2"/>
  <c r="G234" i="2"/>
  <c r="E235" i="2"/>
  <c r="G235" i="2"/>
  <c r="E236" i="2"/>
  <c r="G236" i="2"/>
  <c r="E237" i="2"/>
  <c r="G237" i="2"/>
  <c r="E238" i="2"/>
  <c r="G238" i="2"/>
  <c r="E239" i="2"/>
  <c r="G239" i="2"/>
  <c r="E240" i="2"/>
  <c r="G240" i="2"/>
  <c r="E241" i="2"/>
  <c r="G241" i="2"/>
  <c r="E242" i="2"/>
  <c r="G242" i="2"/>
  <c r="E243" i="2"/>
  <c r="G243" i="2"/>
  <c r="E244" i="2"/>
  <c r="G244" i="2"/>
  <c r="E245" i="2"/>
  <c r="G245" i="2"/>
  <c r="E246" i="2"/>
  <c r="G246" i="2"/>
  <c r="E247" i="2"/>
  <c r="G247" i="2"/>
  <c r="E248" i="2"/>
  <c r="G248" i="2"/>
  <c r="E249" i="2"/>
  <c r="G249" i="2"/>
  <c r="E250" i="2"/>
  <c r="G250" i="2"/>
  <c r="E251" i="2"/>
  <c r="G251" i="2"/>
  <c r="E252" i="2"/>
  <c r="G252" i="2"/>
  <c r="E253" i="2"/>
  <c r="G253" i="2"/>
  <c r="E254" i="2"/>
  <c r="G254" i="2"/>
  <c r="E255" i="2"/>
  <c r="G255" i="2"/>
  <c r="E256" i="2"/>
  <c r="G256" i="2"/>
  <c r="E257" i="2"/>
  <c r="G257" i="2"/>
  <c r="E258" i="2"/>
  <c r="G258" i="2"/>
  <c r="E259" i="2"/>
  <c r="G259" i="2"/>
  <c r="E260" i="2"/>
  <c r="G260" i="2"/>
  <c r="E261" i="2"/>
  <c r="G261" i="2"/>
  <c r="E262" i="2"/>
  <c r="G262" i="2"/>
  <c r="E263" i="2"/>
  <c r="G263" i="2"/>
  <c r="E264" i="2"/>
  <c r="G264" i="2"/>
  <c r="G5" i="2"/>
  <c r="E5" i="2"/>
  <c r="L7" i="3" l="1"/>
  <c r="S12" i="3" l="1"/>
  <c r="R12" i="3"/>
  <c r="Q12" i="3"/>
  <c r="S11" i="3"/>
  <c r="R11" i="3"/>
  <c r="Q11" i="3"/>
  <c r="S10" i="3"/>
  <c r="R10" i="3"/>
  <c r="Q10" i="3"/>
  <c r="S9" i="3"/>
  <c r="R9" i="3"/>
  <c r="Q9" i="3"/>
  <c r="S8" i="3"/>
  <c r="R8" i="3"/>
  <c r="Q8" i="3"/>
  <c r="S7" i="3"/>
  <c r="R7" i="3"/>
  <c r="Q7" i="3"/>
  <c r="N12" i="3"/>
  <c r="N11" i="3"/>
  <c r="N10" i="3"/>
  <c r="N9" i="3"/>
  <c r="N8" i="3"/>
  <c r="N7" i="3"/>
  <c r="M12" i="3"/>
  <c r="M11" i="3"/>
  <c r="M10" i="3"/>
  <c r="M9" i="3"/>
  <c r="M8" i="3"/>
  <c r="M7" i="3"/>
  <c r="L8" i="3"/>
  <c r="L9" i="3"/>
  <c r="L10" i="3"/>
  <c r="L11" i="3"/>
  <c r="L12" i="3"/>
  <c r="I264" i="2" l="1"/>
  <c r="J264" i="2"/>
  <c r="H264" i="2"/>
  <c r="I225" i="2"/>
  <c r="J225" i="2"/>
  <c r="H225" i="2"/>
  <c r="I223" i="2"/>
  <c r="I187" i="2"/>
  <c r="J187" i="2"/>
  <c r="H187" i="2"/>
  <c r="I186" i="2"/>
  <c r="I143" i="2"/>
  <c r="J143" i="2"/>
  <c r="H143" i="2"/>
  <c r="I99" i="2"/>
  <c r="J99" i="2"/>
  <c r="H99" i="2"/>
  <c r="I54" i="2"/>
  <c r="J54" i="2"/>
  <c r="H54" i="2"/>
  <c r="J270" i="1"/>
  <c r="K270" i="1"/>
  <c r="I270" i="1"/>
  <c r="J230" i="1"/>
  <c r="K230" i="1"/>
  <c r="I230" i="1"/>
  <c r="J228" i="1"/>
  <c r="J190" i="1"/>
  <c r="K190" i="1"/>
  <c r="I190" i="1"/>
  <c r="J186" i="1"/>
  <c r="J145" i="1"/>
  <c r="K145" i="1"/>
  <c r="I145" i="1"/>
  <c r="J142" i="1"/>
  <c r="J101" i="1"/>
  <c r="K101" i="1"/>
  <c r="I101" i="1"/>
  <c r="J56" i="1"/>
  <c r="K56" i="1"/>
  <c r="I56" i="1"/>
</calcChain>
</file>

<file path=xl/sharedStrings.xml><?xml version="1.0" encoding="utf-8"?>
<sst xmlns="http://schemas.openxmlformats.org/spreadsheetml/2006/main" count="65" uniqueCount="17">
  <si>
    <r>
      <t xml:space="preserve">    </t>
    </r>
    <r>
      <rPr>
        <u/>
        <sz val="12"/>
        <color theme="1"/>
        <rFont val="Cambria"/>
        <family val="1"/>
      </rPr>
      <t>With the use of LAIV (83% efficacy)</t>
    </r>
  </si>
  <si>
    <t>Days</t>
  </si>
  <si>
    <t>Inf Unvax</t>
  </si>
  <si>
    <t>Inf Vax</t>
  </si>
  <si>
    <t>Coverage</t>
  </si>
  <si>
    <t>With the use of TIV (64% efficacy)</t>
  </si>
  <si>
    <t>Aug</t>
  </si>
  <si>
    <t>Sep</t>
  </si>
  <si>
    <t>Oct</t>
  </si>
  <si>
    <t>Nov</t>
  </si>
  <si>
    <t>Dec</t>
  </si>
  <si>
    <t>Jan</t>
  </si>
  <si>
    <t>Feb</t>
  </si>
  <si>
    <t>Table values LAIV</t>
  </si>
  <si>
    <t>Index</t>
  </si>
  <si>
    <t>Table values TIV</t>
  </si>
  <si>
    <t>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</si>
</sst>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70"/>
  <sheetViews>
    <sheetView tabSelected="1" workbookViewId="0">
      <selection activeCell="E7" sqref="E7"/>
    </sheetView>
  </sheetViews>
  <sheetFormatPr defaultRowHeight="15" x14ac:dyDescent="0.25"/>
  <cols>
    <col min="8" max="21" width="9.140625" customWidth="1"/>
  </cols>
  <sheetData>
    <row r="2" spans="1:20" ht="15.75" x14ac:dyDescent="0.25">
      <c r="A2" s="1" t="s">
        <v>0</v>
      </c>
    </row>
    <row r="4" spans="1:20" x14ac:dyDescent="0.25">
      <c r="A4" t="s">
        <v>1</v>
      </c>
      <c r="N4" t="s">
        <v>14</v>
      </c>
      <c r="O4" t="s">
        <v>2</v>
      </c>
      <c r="P4" t="s">
        <v>3</v>
      </c>
      <c r="Q4" t="s">
        <v>4</v>
      </c>
      <c r="T4" t="s">
        <v>16</v>
      </c>
    </row>
    <row r="5" spans="1:20" x14ac:dyDescent="0.25">
      <c r="A5" t="s">
        <v>14</v>
      </c>
      <c r="B5" t="s">
        <v>2</v>
      </c>
      <c r="C5" t="s">
        <v>3</v>
      </c>
      <c r="D5" t="s">
        <v>4</v>
      </c>
      <c r="I5" t="s">
        <v>6</v>
      </c>
      <c r="J5">
        <v>0</v>
      </c>
      <c r="K5">
        <v>0</v>
      </c>
      <c r="L5">
        <v>0</v>
      </c>
      <c r="N5">
        <v>1</v>
      </c>
      <c r="O5">
        <v>0</v>
      </c>
      <c r="P5">
        <v>0</v>
      </c>
      <c r="Q5">
        <v>0</v>
      </c>
      <c r="T5">
        <v>0</v>
      </c>
    </row>
    <row r="6" spans="1:20" x14ac:dyDescent="0.25">
      <c r="A6">
        <v>1</v>
      </c>
      <c r="B6">
        <v>0</v>
      </c>
      <c r="C6">
        <v>0</v>
      </c>
      <c r="D6">
        <v>0</v>
      </c>
      <c r="I6" t="s">
        <v>7</v>
      </c>
      <c r="J6">
        <v>6.9999999999999999E-4</v>
      </c>
      <c r="K6">
        <v>0</v>
      </c>
      <c r="L6">
        <v>0.16270000000000001</v>
      </c>
      <c r="N6">
        <v>2</v>
      </c>
      <c r="O6">
        <v>6.9999999999999999E-4</v>
      </c>
      <c r="P6">
        <v>0</v>
      </c>
      <c r="Q6">
        <v>0.16270000000000001</v>
      </c>
      <c r="T6">
        <v>1</v>
      </c>
    </row>
    <row r="7" spans="1:20" x14ac:dyDescent="0.25">
      <c r="A7">
        <v>1.1044</v>
      </c>
      <c r="B7">
        <v>0</v>
      </c>
      <c r="C7">
        <v>0</v>
      </c>
      <c r="D7">
        <v>5.9999999999999995E-4</v>
      </c>
      <c r="E7">
        <f>(B7-B6)/(1-B6)</f>
        <v>0</v>
      </c>
      <c r="F7">
        <f t="shared" ref="F7:G7" si="0">(C7-C6)/(1-C6)</f>
        <v>0</v>
      </c>
      <c r="G7">
        <f t="shared" si="0"/>
        <v>5.9999999999999995E-4</v>
      </c>
      <c r="I7" t="s">
        <v>8</v>
      </c>
      <c r="J7">
        <v>5.7000000000000002E-3</v>
      </c>
      <c r="K7">
        <v>4.0000000000000002E-4</v>
      </c>
      <c r="L7">
        <v>0.34079999999999999</v>
      </c>
      <c r="N7">
        <v>3</v>
      </c>
      <c r="O7">
        <v>5.0035024517162017E-3</v>
      </c>
      <c r="P7">
        <v>4.0000000000000002E-4</v>
      </c>
      <c r="Q7">
        <v>0.21270751224172937</v>
      </c>
      <c r="T7">
        <v>2</v>
      </c>
    </row>
    <row r="8" spans="1:20" x14ac:dyDescent="0.25">
      <c r="A8">
        <v>1.2088000000000001</v>
      </c>
      <c r="B8">
        <v>0</v>
      </c>
      <c r="C8">
        <v>0</v>
      </c>
      <c r="D8">
        <v>1.2999999999999999E-3</v>
      </c>
      <c r="E8">
        <f t="shared" ref="E8:E71" si="1">(B8-B7)/(1-B7)</f>
        <v>0</v>
      </c>
      <c r="F8">
        <f t="shared" ref="F8:F71" si="2">(C8-C7)/(1-C7)</f>
        <v>0</v>
      </c>
      <c r="G8">
        <f t="shared" ref="G8:G71" si="3">(D8-D7)/(1-D7)</f>
        <v>7.0042025215129083E-4</v>
      </c>
      <c r="I8" t="s">
        <v>9</v>
      </c>
      <c r="J8">
        <v>2.47E-2</v>
      </c>
      <c r="K8">
        <v>3.2000000000000002E-3</v>
      </c>
      <c r="L8">
        <v>0.4637</v>
      </c>
      <c r="N8">
        <v>4</v>
      </c>
      <c r="O8">
        <v>1.910892084883838E-2</v>
      </c>
      <c r="P8">
        <v>2.8011204481792717E-3</v>
      </c>
      <c r="Q8">
        <v>0.18643810679611653</v>
      </c>
      <c r="T8">
        <v>3</v>
      </c>
    </row>
    <row r="9" spans="1:20" x14ac:dyDescent="0.25">
      <c r="A9">
        <v>1.3131999999999999</v>
      </c>
      <c r="B9">
        <v>0</v>
      </c>
      <c r="C9">
        <v>0</v>
      </c>
      <c r="D9">
        <v>1.9E-3</v>
      </c>
      <c r="E9">
        <f t="shared" si="1"/>
        <v>0</v>
      </c>
      <c r="F9">
        <f t="shared" si="2"/>
        <v>0</v>
      </c>
      <c r="G9">
        <f t="shared" si="3"/>
        <v>6.007810153199159E-4</v>
      </c>
      <c r="I9" t="s">
        <v>10</v>
      </c>
      <c r="J9">
        <v>6.1400000000000003E-2</v>
      </c>
      <c r="K9">
        <v>1.15E-2</v>
      </c>
      <c r="L9">
        <v>0.52100000000000002</v>
      </c>
      <c r="N9">
        <v>5</v>
      </c>
      <c r="O9">
        <v>3.7629447349533475E-2</v>
      </c>
      <c r="P9">
        <v>8.3266452648475126E-3</v>
      </c>
      <c r="Q9">
        <v>0.1068431847846355</v>
      </c>
      <c r="T9">
        <v>4</v>
      </c>
    </row>
    <row r="10" spans="1:20" x14ac:dyDescent="0.25">
      <c r="A10">
        <v>1.4176</v>
      </c>
      <c r="B10">
        <v>0</v>
      </c>
      <c r="C10">
        <v>0</v>
      </c>
      <c r="D10">
        <v>2.5000000000000001E-3</v>
      </c>
      <c r="E10">
        <f t="shared" si="1"/>
        <v>0</v>
      </c>
      <c r="F10">
        <f t="shared" si="2"/>
        <v>0</v>
      </c>
      <c r="G10">
        <f t="shared" si="3"/>
        <v>6.0114217012323422E-4</v>
      </c>
      <c r="I10" t="s">
        <v>11</v>
      </c>
      <c r="J10">
        <v>9.4100000000000003E-2</v>
      </c>
      <c r="K10">
        <v>2.2200000000000001E-2</v>
      </c>
      <c r="L10">
        <v>0.56330000000000002</v>
      </c>
      <c r="N10">
        <v>6</v>
      </c>
      <c r="O10">
        <v>3.4839122096739825E-2</v>
      </c>
      <c r="P10">
        <v>1.082448153768336E-2</v>
      </c>
      <c r="Q10">
        <v>8.8308977035490621E-2</v>
      </c>
      <c r="T10">
        <v>5</v>
      </c>
    </row>
    <row r="11" spans="1:20" x14ac:dyDescent="0.25">
      <c r="A11">
        <v>1.9177</v>
      </c>
      <c r="B11">
        <v>0</v>
      </c>
      <c r="C11">
        <v>0</v>
      </c>
      <c r="D11">
        <v>5.4999999999999997E-3</v>
      </c>
      <c r="E11">
        <f t="shared" si="1"/>
        <v>0</v>
      </c>
      <c r="F11">
        <f t="shared" si="2"/>
        <v>0</v>
      </c>
      <c r="G11">
        <f t="shared" si="3"/>
        <v>3.0075187969924805E-3</v>
      </c>
      <c r="I11" t="s">
        <v>12</v>
      </c>
      <c r="J11">
        <v>0.1079</v>
      </c>
      <c r="K11">
        <v>2.8199999999999999E-2</v>
      </c>
      <c r="L11">
        <v>0.58609999999999995</v>
      </c>
      <c r="N11">
        <v>7</v>
      </c>
      <c r="O11">
        <v>1.5233469477867306E-2</v>
      </c>
      <c r="P11">
        <v>6.136224176723255E-3</v>
      </c>
      <c r="Q11">
        <v>5.2209754980535684E-2</v>
      </c>
      <c r="T11">
        <v>6</v>
      </c>
    </row>
    <row r="12" spans="1:20" x14ac:dyDescent="0.25">
      <c r="A12">
        <v>2.4178000000000002</v>
      </c>
      <c r="B12">
        <v>0</v>
      </c>
      <c r="C12">
        <v>0</v>
      </c>
      <c r="D12">
        <v>8.6E-3</v>
      </c>
      <c r="E12">
        <f t="shared" si="1"/>
        <v>0</v>
      </c>
      <c r="F12">
        <f t="shared" si="2"/>
        <v>0</v>
      </c>
      <c r="G12">
        <f t="shared" si="3"/>
        <v>3.1171442936148821E-3</v>
      </c>
      <c r="N12">
        <v>8</v>
      </c>
      <c r="O12">
        <v>0</v>
      </c>
      <c r="P12">
        <v>0</v>
      </c>
      <c r="Q12">
        <v>0</v>
      </c>
    </row>
    <row r="13" spans="1:20" x14ac:dyDescent="0.25">
      <c r="A13">
        <v>2.9178999999999999</v>
      </c>
      <c r="B13">
        <v>0</v>
      </c>
      <c r="C13">
        <v>0</v>
      </c>
      <c r="D13">
        <v>1.1599999999999999E-2</v>
      </c>
      <c r="E13">
        <f t="shared" si="1"/>
        <v>0</v>
      </c>
      <c r="F13">
        <f t="shared" si="2"/>
        <v>0</v>
      </c>
      <c r="G13">
        <f t="shared" si="3"/>
        <v>3.0260238047205967E-3</v>
      </c>
    </row>
    <row r="14" spans="1:20" x14ac:dyDescent="0.25">
      <c r="A14">
        <v>3.4180000000000001</v>
      </c>
      <c r="B14">
        <v>0</v>
      </c>
      <c r="C14">
        <v>0</v>
      </c>
      <c r="D14">
        <v>1.4500000000000001E-2</v>
      </c>
      <c r="E14">
        <f t="shared" si="1"/>
        <v>0</v>
      </c>
      <c r="F14">
        <f t="shared" si="2"/>
        <v>0</v>
      </c>
      <c r="G14">
        <f t="shared" si="3"/>
        <v>2.9340348037231907E-3</v>
      </c>
    </row>
    <row r="15" spans="1:20" x14ac:dyDescent="0.25">
      <c r="A15">
        <v>3.907</v>
      </c>
      <c r="B15">
        <v>0</v>
      </c>
      <c r="C15">
        <v>0</v>
      </c>
      <c r="D15">
        <v>1.7500000000000002E-2</v>
      </c>
      <c r="E15">
        <f t="shared" si="1"/>
        <v>0</v>
      </c>
      <c r="F15">
        <f t="shared" si="2"/>
        <v>0</v>
      </c>
      <c r="G15">
        <f t="shared" si="3"/>
        <v>3.044140030441401E-3</v>
      </c>
    </row>
    <row r="16" spans="1:20" x14ac:dyDescent="0.25">
      <c r="A16">
        <v>4.3959999999999999</v>
      </c>
      <c r="B16">
        <v>0</v>
      </c>
      <c r="C16">
        <v>0</v>
      </c>
      <c r="D16">
        <v>2.0400000000000001E-2</v>
      </c>
      <c r="E16">
        <f t="shared" si="1"/>
        <v>0</v>
      </c>
      <c r="F16">
        <f t="shared" si="2"/>
        <v>0</v>
      </c>
      <c r="G16">
        <f t="shared" si="3"/>
        <v>2.9516539440203561E-3</v>
      </c>
    </row>
    <row r="17" spans="1:7" x14ac:dyDescent="0.25">
      <c r="A17">
        <v>4.8849999999999998</v>
      </c>
      <c r="B17">
        <v>0</v>
      </c>
      <c r="C17">
        <v>0</v>
      </c>
      <c r="D17">
        <v>2.3300000000000001E-2</v>
      </c>
      <c r="E17">
        <f t="shared" si="1"/>
        <v>0</v>
      </c>
      <c r="F17">
        <f t="shared" si="2"/>
        <v>0</v>
      </c>
      <c r="G17">
        <f t="shared" si="3"/>
        <v>2.9603919967333601E-3</v>
      </c>
    </row>
    <row r="18" spans="1:7" x14ac:dyDescent="0.25">
      <c r="A18">
        <v>5.3739999999999997</v>
      </c>
      <c r="B18">
        <v>0</v>
      </c>
      <c r="C18">
        <v>0</v>
      </c>
      <c r="D18">
        <v>2.6100000000000002E-2</v>
      </c>
      <c r="E18">
        <f t="shared" si="1"/>
        <v>0</v>
      </c>
      <c r="F18">
        <f t="shared" si="2"/>
        <v>0</v>
      </c>
      <c r="G18">
        <f t="shared" si="3"/>
        <v>2.8667963550732061E-3</v>
      </c>
    </row>
    <row r="19" spans="1:7" x14ac:dyDescent="0.25">
      <c r="A19">
        <v>6.0568999999999997</v>
      </c>
      <c r="B19">
        <v>0</v>
      </c>
      <c r="C19">
        <v>0</v>
      </c>
      <c r="D19">
        <v>3.0200000000000001E-2</v>
      </c>
      <c r="E19">
        <f t="shared" si="1"/>
        <v>0</v>
      </c>
      <c r="F19">
        <f t="shared" si="2"/>
        <v>0</v>
      </c>
      <c r="G19">
        <f t="shared" si="3"/>
        <v>4.2098778108635377E-3</v>
      </c>
    </row>
    <row r="20" spans="1:7" x14ac:dyDescent="0.25">
      <c r="A20">
        <v>6.7397999999999998</v>
      </c>
      <c r="B20">
        <v>0</v>
      </c>
      <c r="C20">
        <v>0</v>
      </c>
      <c r="D20">
        <v>3.4200000000000001E-2</v>
      </c>
      <c r="E20">
        <f t="shared" si="1"/>
        <v>0</v>
      </c>
      <c r="F20">
        <f t="shared" si="2"/>
        <v>0</v>
      </c>
      <c r="G20">
        <f t="shared" si="3"/>
        <v>4.1245617653124355E-3</v>
      </c>
    </row>
    <row r="21" spans="1:7" x14ac:dyDescent="0.25">
      <c r="A21">
        <v>7.4226999999999999</v>
      </c>
      <c r="B21">
        <v>1E-4</v>
      </c>
      <c r="C21">
        <v>0</v>
      </c>
      <c r="D21">
        <v>3.8100000000000002E-2</v>
      </c>
      <c r="E21">
        <f t="shared" si="1"/>
        <v>1E-4</v>
      </c>
      <c r="F21">
        <f t="shared" si="2"/>
        <v>0</v>
      </c>
      <c r="G21">
        <f t="shared" si="3"/>
        <v>4.0381031269413961E-3</v>
      </c>
    </row>
    <row r="22" spans="1:7" x14ac:dyDescent="0.25">
      <c r="A22">
        <v>8.1054999999999993</v>
      </c>
      <c r="B22">
        <v>1E-4</v>
      </c>
      <c r="C22">
        <v>0</v>
      </c>
      <c r="D22">
        <v>4.2099999999999999E-2</v>
      </c>
      <c r="E22">
        <f t="shared" si="1"/>
        <v>0</v>
      </c>
      <c r="F22">
        <f t="shared" si="2"/>
        <v>0</v>
      </c>
      <c r="G22">
        <f t="shared" si="3"/>
        <v>4.158436427903105E-3</v>
      </c>
    </row>
    <row r="23" spans="1:7" x14ac:dyDescent="0.25">
      <c r="A23">
        <v>9.0145999999999997</v>
      </c>
      <c r="B23">
        <v>1E-4</v>
      </c>
      <c r="C23">
        <v>0</v>
      </c>
      <c r="D23">
        <v>4.7300000000000002E-2</v>
      </c>
      <c r="E23">
        <f t="shared" si="1"/>
        <v>0</v>
      </c>
      <c r="F23">
        <f t="shared" si="2"/>
        <v>0</v>
      </c>
      <c r="G23">
        <f t="shared" si="3"/>
        <v>5.4285416014197762E-3</v>
      </c>
    </row>
    <row r="24" spans="1:7" x14ac:dyDescent="0.25">
      <c r="A24">
        <v>9.9237000000000002</v>
      </c>
      <c r="B24">
        <v>1E-4</v>
      </c>
      <c r="C24">
        <v>0</v>
      </c>
      <c r="D24">
        <v>5.2600000000000001E-2</v>
      </c>
      <c r="E24">
        <f t="shared" si="1"/>
        <v>0</v>
      </c>
      <c r="F24">
        <f t="shared" si="2"/>
        <v>0</v>
      </c>
      <c r="G24">
        <f t="shared" si="3"/>
        <v>5.5631363493229757E-3</v>
      </c>
    </row>
    <row r="25" spans="1:7" x14ac:dyDescent="0.25">
      <c r="A25">
        <v>10.832700000000001</v>
      </c>
      <c r="B25">
        <v>1E-4</v>
      </c>
      <c r="C25">
        <v>0</v>
      </c>
      <c r="D25">
        <v>5.7799999999999997E-2</v>
      </c>
      <c r="E25">
        <f t="shared" si="1"/>
        <v>0</v>
      </c>
      <c r="F25">
        <f t="shared" si="2"/>
        <v>0</v>
      </c>
      <c r="G25">
        <f t="shared" si="3"/>
        <v>5.4887059320244845E-3</v>
      </c>
    </row>
    <row r="26" spans="1:7" x14ac:dyDescent="0.25">
      <c r="A26">
        <v>11.7418</v>
      </c>
      <c r="B26">
        <v>1E-4</v>
      </c>
      <c r="C26">
        <v>0</v>
      </c>
      <c r="D26">
        <v>6.2899999999999998E-2</v>
      </c>
      <c r="E26">
        <f t="shared" si="1"/>
        <v>0</v>
      </c>
      <c r="F26">
        <f t="shared" si="2"/>
        <v>0</v>
      </c>
      <c r="G26">
        <f t="shared" si="3"/>
        <v>5.4128635109318615E-3</v>
      </c>
    </row>
    <row r="27" spans="1:7" x14ac:dyDescent="0.25">
      <c r="A27">
        <v>12.433299999999999</v>
      </c>
      <c r="B27">
        <v>1E-4</v>
      </c>
      <c r="C27">
        <v>0</v>
      </c>
      <c r="D27">
        <v>6.6799999999999998E-2</v>
      </c>
      <c r="E27">
        <f t="shared" si="1"/>
        <v>0</v>
      </c>
      <c r="F27">
        <f t="shared" si="2"/>
        <v>0</v>
      </c>
      <c r="G27">
        <f t="shared" si="3"/>
        <v>4.1617756909614776E-3</v>
      </c>
    </row>
    <row r="28" spans="1:7" x14ac:dyDescent="0.25">
      <c r="A28">
        <v>13.1248</v>
      </c>
      <c r="B28">
        <v>1E-4</v>
      </c>
      <c r="C28">
        <v>0</v>
      </c>
      <c r="D28">
        <v>7.0699999999999999E-2</v>
      </c>
      <c r="E28">
        <f t="shared" si="1"/>
        <v>0</v>
      </c>
      <c r="F28">
        <f t="shared" si="2"/>
        <v>0</v>
      </c>
      <c r="G28">
        <f t="shared" si="3"/>
        <v>4.1791684526360914E-3</v>
      </c>
    </row>
    <row r="29" spans="1:7" x14ac:dyDescent="0.25">
      <c r="A29">
        <v>13.8163</v>
      </c>
      <c r="B29">
        <v>1E-4</v>
      </c>
      <c r="C29">
        <v>0</v>
      </c>
      <c r="D29">
        <v>7.46E-2</v>
      </c>
      <c r="E29">
        <f t="shared" si="1"/>
        <v>0</v>
      </c>
      <c r="F29">
        <f t="shared" si="2"/>
        <v>0</v>
      </c>
      <c r="G29">
        <f t="shared" si="3"/>
        <v>4.1967071989669653E-3</v>
      </c>
    </row>
    <row r="30" spans="1:7" x14ac:dyDescent="0.25">
      <c r="A30">
        <v>14.5078</v>
      </c>
      <c r="B30">
        <v>1E-4</v>
      </c>
      <c r="C30">
        <v>0</v>
      </c>
      <c r="D30">
        <v>7.8399999999999997E-2</v>
      </c>
      <c r="E30">
        <f t="shared" si="1"/>
        <v>0</v>
      </c>
      <c r="F30">
        <f t="shared" si="2"/>
        <v>0</v>
      </c>
      <c r="G30">
        <f t="shared" si="3"/>
        <v>4.1063323968013807E-3</v>
      </c>
    </row>
    <row r="31" spans="1:7" x14ac:dyDescent="0.25">
      <c r="A31">
        <v>15.199299999999999</v>
      </c>
      <c r="B31">
        <v>2.0000000000000001E-4</v>
      </c>
      <c r="C31">
        <v>0</v>
      </c>
      <c r="D31">
        <v>8.2299999999999998E-2</v>
      </c>
      <c r="E31">
        <f t="shared" si="1"/>
        <v>1.0001000100010001E-4</v>
      </c>
      <c r="F31">
        <f t="shared" si="2"/>
        <v>0</v>
      </c>
      <c r="G31">
        <f t="shared" si="3"/>
        <v>4.2317708333333339E-3</v>
      </c>
    </row>
    <row r="32" spans="1:7" x14ac:dyDescent="0.25">
      <c r="A32">
        <v>15.8908</v>
      </c>
      <c r="B32">
        <v>2.0000000000000001E-4</v>
      </c>
      <c r="C32">
        <v>0</v>
      </c>
      <c r="D32">
        <v>8.6099999999999996E-2</v>
      </c>
      <c r="E32">
        <f t="shared" si="1"/>
        <v>0</v>
      </c>
      <c r="F32">
        <f t="shared" si="2"/>
        <v>0</v>
      </c>
      <c r="G32">
        <f t="shared" si="3"/>
        <v>4.1407867494823994E-3</v>
      </c>
    </row>
    <row r="33" spans="1:7" x14ac:dyDescent="0.25">
      <c r="A33">
        <v>16.5823</v>
      </c>
      <c r="B33">
        <v>2.0000000000000001E-4</v>
      </c>
      <c r="C33">
        <v>0</v>
      </c>
      <c r="D33">
        <v>8.9899999999999994E-2</v>
      </c>
      <c r="E33">
        <f t="shared" si="1"/>
        <v>0</v>
      </c>
      <c r="F33">
        <f t="shared" si="2"/>
        <v>0</v>
      </c>
      <c r="G33">
        <f t="shared" si="3"/>
        <v>4.1580041580041556E-3</v>
      </c>
    </row>
    <row r="34" spans="1:7" x14ac:dyDescent="0.25">
      <c r="A34">
        <v>17.273800000000001</v>
      </c>
      <c r="B34">
        <v>2.0000000000000001E-4</v>
      </c>
      <c r="C34">
        <v>0</v>
      </c>
      <c r="D34">
        <v>9.3700000000000006E-2</v>
      </c>
      <c r="E34">
        <f t="shared" si="1"/>
        <v>0</v>
      </c>
      <c r="F34">
        <f t="shared" si="2"/>
        <v>0</v>
      </c>
      <c r="G34">
        <f t="shared" si="3"/>
        <v>4.1753653444676535E-3</v>
      </c>
    </row>
    <row r="35" spans="1:7" x14ac:dyDescent="0.25">
      <c r="A35">
        <v>18.043399999999998</v>
      </c>
      <c r="B35">
        <v>2.0000000000000001E-4</v>
      </c>
      <c r="C35">
        <v>0</v>
      </c>
      <c r="D35">
        <v>9.7900000000000001E-2</v>
      </c>
      <c r="E35">
        <f t="shared" si="1"/>
        <v>0</v>
      </c>
      <c r="F35">
        <f t="shared" si="2"/>
        <v>0</v>
      </c>
      <c r="G35">
        <f t="shared" si="3"/>
        <v>4.634227077126774E-3</v>
      </c>
    </row>
    <row r="36" spans="1:7" x14ac:dyDescent="0.25">
      <c r="A36">
        <v>18.813099999999999</v>
      </c>
      <c r="B36">
        <v>2.0000000000000001E-4</v>
      </c>
      <c r="C36">
        <v>0</v>
      </c>
      <c r="D36">
        <v>0.10199999999999999</v>
      </c>
      <c r="E36">
        <f t="shared" si="1"/>
        <v>0</v>
      </c>
      <c r="F36">
        <f t="shared" si="2"/>
        <v>0</v>
      </c>
      <c r="G36">
        <f t="shared" si="3"/>
        <v>4.5449506706573464E-3</v>
      </c>
    </row>
    <row r="37" spans="1:7" x14ac:dyDescent="0.25">
      <c r="A37">
        <v>19.582699999999999</v>
      </c>
      <c r="B37">
        <v>2.9999999999999997E-4</v>
      </c>
      <c r="C37">
        <v>0</v>
      </c>
      <c r="D37">
        <v>0.1062</v>
      </c>
      <c r="E37">
        <f t="shared" si="1"/>
        <v>1.0002000400080012E-4</v>
      </c>
      <c r="F37">
        <f t="shared" si="2"/>
        <v>0</v>
      </c>
      <c r="G37">
        <f t="shared" si="3"/>
        <v>4.6770601336302998E-3</v>
      </c>
    </row>
    <row r="38" spans="1:7" x14ac:dyDescent="0.25">
      <c r="A38">
        <v>20.3523</v>
      </c>
      <c r="B38">
        <v>2.9999999999999997E-4</v>
      </c>
      <c r="C38">
        <v>0</v>
      </c>
      <c r="D38">
        <v>0.1103</v>
      </c>
      <c r="E38">
        <f t="shared" si="1"/>
        <v>0</v>
      </c>
      <c r="F38">
        <f t="shared" si="2"/>
        <v>0</v>
      </c>
      <c r="G38">
        <f t="shared" si="3"/>
        <v>4.5871559633027439E-3</v>
      </c>
    </row>
    <row r="39" spans="1:7" x14ac:dyDescent="0.25">
      <c r="A39">
        <v>21.151299999999999</v>
      </c>
      <c r="B39">
        <v>2.9999999999999997E-4</v>
      </c>
      <c r="C39">
        <v>0</v>
      </c>
      <c r="D39">
        <v>0.11459999999999999</v>
      </c>
      <c r="E39">
        <f t="shared" si="1"/>
        <v>0</v>
      </c>
      <c r="F39">
        <f t="shared" si="2"/>
        <v>0</v>
      </c>
      <c r="G39">
        <f t="shared" si="3"/>
        <v>4.8330898055524308E-3</v>
      </c>
    </row>
    <row r="40" spans="1:7" x14ac:dyDescent="0.25">
      <c r="A40">
        <v>21.950299999999999</v>
      </c>
      <c r="B40">
        <v>2.9999999999999997E-4</v>
      </c>
      <c r="C40">
        <v>0</v>
      </c>
      <c r="D40">
        <v>0.1188</v>
      </c>
      <c r="E40">
        <f t="shared" si="1"/>
        <v>0</v>
      </c>
      <c r="F40">
        <f t="shared" si="2"/>
        <v>0</v>
      </c>
      <c r="G40">
        <f t="shared" si="3"/>
        <v>4.7436187034108988E-3</v>
      </c>
    </row>
    <row r="41" spans="1:7" x14ac:dyDescent="0.25">
      <c r="A41">
        <v>22.749199999999998</v>
      </c>
      <c r="B41">
        <v>2.9999999999999997E-4</v>
      </c>
      <c r="C41">
        <v>0</v>
      </c>
      <c r="D41">
        <v>0.123</v>
      </c>
      <c r="E41">
        <f t="shared" si="1"/>
        <v>0</v>
      </c>
      <c r="F41">
        <f t="shared" si="2"/>
        <v>0</v>
      </c>
      <c r="G41">
        <f t="shared" si="3"/>
        <v>4.7662278710848792E-3</v>
      </c>
    </row>
    <row r="42" spans="1:7" x14ac:dyDescent="0.25">
      <c r="A42">
        <v>23.548200000000001</v>
      </c>
      <c r="B42">
        <v>4.0000000000000002E-4</v>
      </c>
      <c r="C42">
        <v>0</v>
      </c>
      <c r="D42">
        <v>0.12720000000000001</v>
      </c>
      <c r="E42">
        <f t="shared" si="1"/>
        <v>1.0003000900270085E-4</v>
      </c>
      <c r="F42">
        <f t="shared" si="2"/>
        <v>0</v>
      </c>
      <c r="G42">
        <f t="shared" si="3"/>
        <v>4.7890535917902042E-3</v>
      </c>
    </row>
    <row r="43" spans="1:7" x14ac:dyDescent="0.25">
      <c r="A43">
        <v>24.287500000000001</v>
      </c>
      <c r="B43">
        <v>4.0000000000000002E-4</v>
      </c>
      <c r="C43">
        <v>0</v>
      </c>
      <c r="D43">
        <v>0.13109999999999999</v>
      </c>
      <c r="E43">
        <f t="shared" si="1"/>
        <v>0</v>
      </c>
      <c r="F43">
        <f t="shared" si="2"/>
        <v>0</v>
      </c>
      <c r="G43">
        <f t="shared" si="3"/>
        <v>4.468377635197052E-3</v>
      </c>
    </row>
    <row r="44" spans="1:7" x14ac:dyDescent="0.25">
      <c r="A44">
        <v>25.026800000000001</v>
      </c>
      <c r="B44">
        <v>4.0000000000000002E-4</v>
      </c>
      <c r="C44">
        <v>0</v>
      </c>
      <c r="D44">
        <v>0.13500000000000001</v>
      </c>
      <c r="E44">
        <f t="shared" si="1"/>
        <v>0</v>
      </c>
      <c r="F44">
        <f t="shared" si="2"/>
        <v>0</v>
      </c>
      <c r="G44">
        <f t="shared" si="3"/>
        <v>4.4884336517436009E-3</v>
      </c>
    </row>
    <row r="45" spans="1:7" x14ac:dyDescent="0.25">
      <c r="A45">
        <v>25.765999999999998</v>
      </c>
      <c r="B45">
        <v>5.0000000000000001E-4</v>
      </c>
      <c r="C45">
        <v>0</v>
      </c>
      <c r="D45">
        <v>0.13880000000000001</v>
      </c>
      <c r="E45">
        <f t="shared" si="1"/>
        <v>1.0004001600640255E-4</v>
      </c>
      <c r="F45">
        <f t="shared" si="2"/>
        <v>0</v>
      </c>
      <c r="G45">
        <f t="shared" si="3"/>
        <v>4.3930635838150267E-3</v>
      </c>
    </row>
    <row r="46" spans="1:7" x14ac:dyDescent="0.25">
      <c r="A46">
        <v>26.505299999999998</v>
      </c>
      <c r="B46">
        <v>5.0000000000000001E-4</v>
      </c>
      <c r="C46">
        <v>0</v>
      </c>
      <c r="D46">
        <v>0.1426</v>
      </c>
      <c r="E46">
        <f t="shared" si="1"/>
        <v>0</v>
      </c>
      <c r="F46">
        <f t="shared" si="2"/>
        <v>0</v>
      </c>
      <c r="G46">
        <f t="shared" si="3"/>
        <v>4.412447747329306E-3</v>
      </c>
    </row>
    <row r="47" spans="1:7" x14ac:dyDescent="0.25">
      <c r="A47">
        <v>27.1736</v>
      </c>
      <c r="B47">
        <v>5.0000000000000001E-4</v>
      </c>
      <c r="C47">
        <v>0</v>
      </c>
      <c r="D47">
        <v>0.14599999999999999</v>
      </c>
      <c r="E47">
        <f t="shared" si="1"/>
        <v>0</v>
      </c>
      <c r="F47">
        <f t="shared" si="2"/>
        <v>0</v>
      </c>
      <c r="G47">
        <f t="shared" si="3"/>
        <v>3.9654770235595833E-3</v>
      </c>
    </row>
    <row r="48" spans="1:7" x14ac:dyDescent="0.25">
      <c r="A48">
        <v>27.841899999999999</v>
      </c>
      <c r="B48">
        <v>5.9999999999999995E-4</v>
      </c>
      <c r="C48">
        <v>0</v>
      </c>
      <c r="D48">
        <v>0.14949999999999999</v>
      </c>
      <c r="E48">
        <f t="shared" si="1"/>
        <v>1.0005002501250618E-4</v>
      </c>
      <c r="F48">
        <f t="shared" si="2"/>
        <v>0</v>
      </c>
      <c r="G48">
        <f t="shared" si="3"/>
        <v>4.0983606557377086E-3</v>
      </c>
    </row>
    <row r="49" spans="1:11" x14ac:dyDescent="0.25">
      <c r="A49">
        <v>28.510200000000001</v>
      </c>
      <c r="B49">
        <v>5.9999999999999995E-4</v>
      </c>
      <c r="C49">
        <v>0</v>
      </c>
      <c r="D49">
        <v>0.15290000000000001</v>
      </c>
      <c r="E49">
        <f t="shared" si="1"/>
        <v>0</v>
      </c>
      <c r="F49">
        <f t="shared" si="2"/>
        <v>0</v>
      </c>
      <c r="G49">
        <f t="shared" si="3"/>
        <v>3.9976484420929026E-3</v>
      </c>
    </row>
    <row r="50" spans="1:11" x14ac:dyDescent="0.25">
      <c r="A50">
        <v>29.1785</v>
      </c>
      <c r="B50">
        <v>5.9999999999999995E-4</v>
      </c>
      <c r="C50">
        <v>0</v>
      </c>
      <c r="D50">
        <v>0.15620000000000001</v>
      </c>
      <c r="E50">
        <f t="shared" si="1"/>
        <v>0</v>
      </c>
      <c r="F50">
        <f t="shared" si="2"/>
        <v>0</v>
      </c>
      <c r="G50">
        <f t="shared" si="3"/>
        <v>3.8956439617518564E-3</v>
      </c>
    </row>
    <row r="51" spans="1:11" x14ac:dyDescent="0.25">
      <c r="A51">
        <v>29.375800000000002</v>
      </c>
      <c r="B51">
        <v>5.9999999999999995E-4</v>
      </c>
      <c r="C51">
        <v>0</v>
      </c>
      <c r="D51">
        <v>0.15720000000000001</v>
      </c>
      <c r="E51">
        <f t="shared" si="1"/>
        <v>0</v>
      </c>
      <c r="F51">
        <f t="shared" si="2"/>
        <v>0</v>
      </c>
      <c r="G51">
        <f t="shared" si="3"/>
        <v>1.1851149561507477E-3</v>
      </c>
    </row>
    <row r="52" spans="1:11" x14ac:dyDescent="0.25">
      <c r="A52">
        <v>29.5731</v>
      </c>
      <c r="B52">
        <v>5.9999999999999995E-4</v>
      </c>
      <c r="C52">
        <v>0</v>
      </c>
      <c r="D52">
        <v>0.15820000000000001</v>
      </c>
      <c r="E52">
        <f t="shared" si="1"/>
        <v>0</v>
      </c>
      <c r="F52">
        <f t="shared" si="2"/>
        <v>0</v>
      </c>
      <c r="G52">
        <f t="shared" si="3"/>
        <v>1.1865211200759384E-3</v>
      </c>
    </row>
    <row r="53" spans="1:11" x14ac:dyDescent="0.25">
      <c r="A53">
        <v>29.770299999999999</v>
      </c>
      <c r="B53">
        <v>6.9999999999999999E-4</v>
      </c>
      <c r="C53">
        <v>0</v>
      </c>
      <c r="D53">
        <v>0.15920000000000001</v>
      </c>
      <c r="E53">
        <f t="shared" si="1"/>
        <v>1.0006003602161302E-4</v>
      </c>
      <c r="F53">
        <f t="shared" si="2"/>
        <v>0</v>
      </c>
      <c r="G53">
        <f t="shared" si="3"/>
        <v>1.1879306248515097E-3</v>
      </c>
    </row>
    <row r="54" spans="1:11" x14ac:dyDescent="0.25">
      <c r="A54">
        <v>29.967600000000001</v>
      </c>
      <c r="B54">
        <v>6.9999999999999999E-4</v>
      </c>
      <c r="C54">
        <v>0</v>
      </c>
      <c r="D54">
        <v>0.16020000000000001</v>
      </c>
      <c r="E54">
        <f t="shared" si="1"/>
        <v>0</v>
      </c>
      <c r="F54">
        <f t="shared" si="2"/>
        <v>0</v>
      </c>
      <c r="G54">
        <f t="shared" si="3"/>
        <v>1.1893434823977175E-3</v>
      </c>
    </row>
    <row r="55" spans="1:11" x14ac:dyDescent="0.25">
      <c r="A55">
        <v>30.164899999999999</v>
      </c>
      <c r="B55">
        <v>6.9999999999999999E-4</v>
      </c>
      <c r="C55">
        <v>0</v>
      </c>
      <c r="D55">
        <v>0.16139999999999999</v>
      </c>
      <c r="E55">
        <f t="shared" si="1"/>
        <v>0</v>
      </c>
      <c r="F55">
        <f t="shared" si="2"/>
        <v>0</v>
      </c>
      <c r="G55">
        <f t="shared" si="3"/>
        <v>1.4289116456298867E-3</v>
      </c>
    </row>
    <row r="56" spans="1:11" x14ac:dyDescent="0.25">
      <c r="A56">
        <v>30.362100000000002</v>
      </c>
      <c r="B56">
        <v>6.9999999999999999E-4</v>
      </c>
      <c r="C56">
        <v>0</v>
      </c>
      <c r="D56">
        <v>0.16270000000000001</v>
      </c>
      <c r="E56">
        <f t="shared" si="1"/>
        <v>0</v>
      </c>
      <c r="F56">
        <f t="shared" si="2"/>
        <v>0</v>
      </c>
      <c r="G56">
        <f t="shared" si="3"/>
        <v>1.5502027188171038E-3</v>
      </c>
      <c r="I56">
        <f>B56</f>
        <v>6.9999999999999999E-4</v>
      </c>
      <c r="J56">
        <f t="shared" ref="J56:K56" si="4">C56</f>
        <v>0</v>
      </c>
      <c r="K56">
        <f t="shared" si="4"/>
        <v>0.16270000000000001</v>
      </c>
    </row>
    <row r="57" spans="1:11" x14ac:dyDescent="0.25">
      <c r="A57">
        <v>30.5594</v>
      </c>
      <c r="B57">
        <v>6.9999999999999999E-4</v>
      </c>
      <c r="C57">
        <v>0</v>
      </c>
      <c r="D57">
        <v>0.1641</v>
      </c>
      <c r="E57">
        <f t="shared" si="1"/>
        <v>0</v>
      </c>
      <c r="F57">
        <f t="shared" si="2"/>
        <v>0</v>
      </c>
      <c r="G57">
        <f t="shared" si="3"/>
        <v>1.6720410844380566E-3</v>
      </c>
    </row>
    <row r="58" spans="1:11" x14ac:dyDescent="0.25">
      <c r="A58">
        <v>30.756699999999999</v>
      </c>
      <c r="B58">
        <v>6.9999999999999999E-4</v>
      </c>
      <c r="C58">
        <v>0</v>
      </c>
      <c r="D58">
        <v>0.16539999999999999</v>
      </c>
      <c r="E58">
        <f t="shared" si="1"/>
        <v>0</v>
      </c>
      <c r="F58">
        <f t="shared" si="2"/>
        <v>0</v>
      </c>
      <c r="G58">
        <f t="shared" si="3"/>
        <v>1.5552099533436962E-3</v>
      </c>
    </row>
    <row r="59" spans="1:11" x14ac:dyDescent="0.25">
      <c r="A59">
        <v>30.932200000000002</v>
      </c>
      <c r="B59">
        <v>6.9999999999999999E-4</v>
      </c>
      <c r="C59">
        <v>0</v>
      </c>
      <c r="D59">
        <v>0.16650000000000001</v>
      </c>
      <c r="E59">
        <f t="shared" si="1"/>
        <v>0</v>
      </c>
      <c r="F59">
        <f t="shared" si="2"/>
        <v>0</v>
      </c>
      <c r="G59">
        <f t="shared" si="3"/>
        <v>1.31799664509947E-3</v>
      </c>
    </row>
    <row r="60" spans="1:11" x14ac:dyDescent="0.25">
      <c r="A60">
        <v>31.107700000000001</v>
      </c>
      <c r="B60">
        <v>6.9999999999999999E-4</v>
      </c>
      <c r="C60">
        <v>0</v>
      </c>
      <c r="D60">
        <v>0.16769999999999999</v>
      </c>
      <c r="E60">
        <f t="shared" si="1"/>
        <v>0</v>
      </c>
      <c r="F60">
        <f t="shared" si="2"/>
        <v>0</v>
      </c>
      <c r="G60">
        <f t="shared" si="3"/>
        <v>1.4397120575884569E-3</v>
      </c>
    </row>
    <row r="61" spans="1:11" x14ac:dyDescent="0.25">
      <c r="A61">
        <v>31.283300000000001</v>
      </c>
      <c r="B61">
        <v>6.9999999999999999E-4</v>
      </c>
      <c r="C61">
        <v>0</v>
      </c>
      <c r="D61">
        <v>0.16880000000000001</v>
      </c>
      <c r="E61">
        <f t="shared" si="1"/>
        <v>0</v>
      </c>
      <c r="F61">
        <f t="shared" si="2"/>
        <v>0</v>
      </c>
      <c r="G61">
        <f t="shared" si="3"/>
        <v>1.3216388321518895E-3</v>
      </c>
    </row>
    <row r="62" spans="1:11" x14ac:dyDescent="0.25">
      <c r="A62">
        <v>31.4588</v>
      </c>
      <c r="B62">
        <v>6.9999999999999999E-4</v>
      </c>
      <c r="C62">
        <v>0</v>
      </c>
      <c r="D62">
        <v>0.17</v>
      </c>
      <c r="E62">
        <f t="shared" si="1"/>
        <v>0</v>
      </c>
      <c r="F62">
        <f t="shared" si="2"/>
        <v>0</v>
      </c>
      <c r="G62">
        <f t="shared" si="3"/>
        <v>1.4436958614052055E-3</v>
      </c>
    </row>
    <row r="63" spans="1:11" x14ac:dyDescent="0.25">
      <c r="A63">
        <v>32.336500000000001</v>
      </c>
      <c r="B63">
        <v>8.0000000000000004E-4</v>
      </c>
      <c r="C63">
        <v>0</v>
      </c>
      <c r="D63">
        <v>0.1757</v>
      </c>
      <c r="E63">
        <f t="shared" si="1"/>
        <v>1.0007004903432408E-4</v>
      </c>
      <c r="F63">
        <f t="shared" si="2"/>
        <v>0</v>
      </c>
      <c r="G63">
        <f t="shared" si="3"/>
        <v>6.8674698795180523E-3</v>
      </c>
    </row>
    <row r="64" spans="1:11" x14ac:dyDescent="0.25">
      <c r="A64">
        <v>33.214199999999998</v>
      </c>
      <c r="B64">
        <v>8.9999999999999998E-4</v>
      </c>
      <c r="C64">
        <v>0</v>
      </c>
      <c r="D64">
        <v>0.18149999999999999</v>
      </c>
      <c r="E64">
        <f t="shared" si="1"/>
        <v>1.0008006405124093E-4</v>
      </c>
      <c r="F64">
        <f t="shared" si="2"/>
        <v>0</v>
      </c>
      <c r="G64">
        <f t="shared" si="3"/>
        <v>7.0362732015043063E-3</v>
      </c>
    </row>
    <row r="65" spans="1:7" x14ac:dyDescent="0.25">
      <c r="A65">
        <v>34.091900000000003</v>
      </c>
      <c r="B65">
        <v>8.9999999999999998E-4</v>
      </c>
      <c r="C65">
        <v>0</v>
      </c>
      <c r="D65">
        <v>0.18709999999999999</v>
      </c>
      <c r="E65">
        <f t="shared" si="1"/>
        <v>0</v>
      </c>
      <c r="F65">
        <f t="shared" si="2"/>
        <v>0</v>
      </c>
      <c r="G65">
        <f t="shared" si="3"/>
        <v>6.8417837507635847E-3</v>
      </c>
    </row>
    <row r="66" spans="1:7" x14ac:dyDescent="0.25">
      <c r="A66">
        <v>34.969499999999996</v>
      </c>
      <c r="B66">
        <v>1E-3</v>
      </c>
      <c r="C66">
        <v>0</v>
      </c>
      <c r="D66">
        <v>0.1928</v>
      </c>
      <c r="E66">
        <f t="shared" si="1"/>
        <v>1.0009008107296572E-4</v>
      </c>
      <c r="F66">
        <f t="shared" si="2"/>
        <v>0</v>
      </c>
      <c r="G66">
        <f t="shared" si="3"/>
        <v>7.0119325870340891E-3</v>
      </c>
    </row>
    <row r="67" spans="1:7" x14ac:dyDescent="0.25">
      <c r="A67">
        <v>35.751600000000003</v>
      </c>
      <c r="B67">
        <v>1.1000000000000001E-3</v>
      </c>
      <c r="C67">
        <v>0</v>
      </c>
      <c r="D67">
        <v>0.1978</v>
      </c>
      <c r="E67">
        <f t="shared" si="1"/>
        <v>1.0010010010010015E-4</v>
      </c>
      <c r="F67">
        <f t="shared" si="2"/>
        <v>0</v>
      </c>
      <c r="G67">
        <f t="shared" si="3"/>
        <v>6.1942517343904907E-3</v>
      </c>
    </row>
    <row r="68" spans="1:7" x14ac:dyDescent="0.25">
      <c r="A68">
        <v>36.5336</v>
      </c>
      <c r="B68">
        <v>1.1000000000000001E-3</v>
      </c>
      <c r="C68">
        <v>0</v>
      </c>
      <c r="D68">
        <v>0.20269999999999999</v>
      </c>
      <c r="E68">
        <f t="shared" si="1"/>
        <v>0</v>
      </c>
      <c r="F68">
        <f t="shared" si="2"/>
        <v>0</v>
      </c>
      <c r="G68">
        <f t="shared" si="3"/>
        <v>6.1082024432809615E-3</v>
      </c>
    </row>
    <row r="69" spans="1:7" x14ac:dyDescent="0.25">
      <c r="A69">
        <v>37.315600000000003</v>
      </c>
      <c r="B69">
        <v>1.1999999999999999E-3</v>
      </c>
      <c r="C69">
        <v>0</v>
      </c>
      <c r="D69">
        <v>0.20760000000000001</v>
      </c>
      <c r="E69">
        <f t="shared" si="1"/>
        <v>1.0011012113324639E-4</v>
      </c>
      <c r="F69">
        <f t="shared" si="2"/>
        <v>0</v>
      </c>
      <c r="G69">
        <f t="shared" si="3"/>
        <v>6.1457418788411081E-3</v>
      </c>
    </row>
    <row r="70" spans="1:7" x14ac:dyDescent="0.25">
      <c r="A70">
        <v>38.0976</v>
      </c>
      <c r="B70">
        <v>1.2999999999999999E-3</v>
      </c>
      <c r="C70">
        <v>0</v>
      </c>
      <c r="D70">
        <v>0.21249999999999999</v>
      </c>
      <c r="E70">
        <f t="shared" si="1"/>
        <v>1.0012014417300765E-4</v>
      </c>
      <c r="F70">
        <f t="shared" si="2"/>
        <v>0</v>
      </c>
      <c r="G70">
        <f t="shared" si="3"/>
        <v>6.1837455830388542E-3</v>
      </c>
    </row>
    <row r="71" spans="1:7" x14ac:dyDescent="0.25">
      <c r="A71">
        <v>38.879600000000003</v>
      </c>
      <c r="B71">
        <v>1.2999999999999999E-3</v>
      </c>
      <c r="C71">
        <v>0</v>
      </c>
      <c r="D71">
        <v>0.21740000000000001</v>
      </c>
      <c r="E71">
        <f t="shared" si="1"/>
        <v>0</v>
      </c>
      <c r="F71">
        <f t="shared" si="2"/>
        <v>0</v>
      </c>
      <c r="G71">
        <f t="shared" si="3"/>
        <v>6.2222222222222418E-3</v>
      </c>
    </row>
    <row r="72" spans="1:7" x14ac:dyDescent="0.25">
      <c r="A72">
        <v>39.6616</v>
      </c>
      <c r="B72">
        <v>1.4E-3</v>
      </c>
      <c r="C72">
        <v>1E-4</v>
      </c>
      <c r="D72">
        <v>0.22220000000000001</v>
      </c>
      <c r="E72">
        <f t="shared" ref="E72:E135" si="5">(B72-B71)/(1-B71)</f>
        <v>1.0013016921998602E-4</v>
      </c>
      <c r="F72">
        <f t="shared" ref="F72:F135" si="6">(C72-C71)/(1-C71)</f>
        <v>1E-4</v>
      </c>
      <c r="G72">
        <f t="shared" ref="G72:G135" si="7">(D72-D71)/(1-D71)</f>
        <v>6.1334014822386901E-3</v>
      </c>
    </row>
    <row r="73" spans="1:7" x14ac:dyDescent="0.25">
      <c r="A73">
        <v>40.4437</v>
      </c>
      <c r="B73">
        <v>1.5E-3</v>
      </c>
      <c r="C73">
        <v>1E-4</v>
      </c>
      <c r="D73">
        <v>0.22700000000000001</v>
      </c>
      <c r="E73">
        <f t="shared" si="5"/>
        <v>1.0014019627478474E-4</v>
      </c>
      <c r="F73">
        <f t="shared" si="6"/>
        <v>0</v>
      </c>
      <c r="G73">
        <f t="shared" si="7"/>
        <v>6.171252249935714E-3</v>
      </c>
    </row>
    <row r="74" spans="1:7" x14ac:dyDescent="0.25">
      <c r="A74">
        <v>41.225700000000003</v>
      </c>
      <c r="B74">
        <v>1.6000000000000001E-3</v>
      </c>
      <c r="C74">
        <v>1E-4</v>
      </c>
      <c r="D74">
        <v>0.23169999999999999</v>
      </c>
      <c r="E74">
        <f t="shared" si="5"/>
        <v>1.0015022533800705E-4</v>
      </c>
      <c r="F74">
        <f t="shared" si="6"/>
        <v>0</v>
      </c>
      <c r="G74">
        <f t="shared" si="7"/>
        <v>6.0802069857697049E-3</v>
      </c>
    </row>
    <row r="75" spans="1:7" x14ac:dyDescent="0.25">
      <c r="A75">
        <v>41.979799999999997</v>
      </c>
      <c r="B75">
        <v>1.6999999999999999E-3</v>
      </c>
      <c r="C75">
        <v>1E-4</v>
      </c>
      <c r="D75">
        <v>0.23630000000000001</v>
      </c>
      <c r="E75">
        <f t="shared" si="5"/>
        <v>1.0016025641025624E-4</v>
      </c>
      <c r="F75">
        <f t="shared" si="6"/>
        <v>0</v>
      </c>
      <c r="G75">
        <f t="shared" si="7"/>
        <v>5.9872445659247958E-3</v>
      </c>
    </row>
    <row r="76" spans="1:7" x14ac:dyDescent="0.25">
      <c r="A76">
        <v>42.734000000000002</v>
      </c>
      <c r="B76">
        <v>1.8E-3</v>
      </c>
      <c r="C76">
        <v>1E-4</v>
      </c>
      <c r="D76">
        <v>0.24079999999999999</v>
      </c>
      <c r="E76">
        <f t="shared" si="5"/>
        <v>1.0017028949213668E-4</v>
      </c>
      <c r="F76">
        <f t="shared" si="6"/>
        <v>0</v>
      </c>
      <c r="G76">
        <f t="shared" si="7"/>
        <v>5.8923661123477487E-3</v>
      </c>
    </row>
    <row r="77" spans="1:7" x14ac:dyDescent="0.25">
      <c r="A77">
        <v>43.488199999999999</v>
      </c>
      <c r="B77">
        <v>1.9E-3</v>
      </c>
      <c r="C77">
        <v>1E-4</v>
      </c>
      <c r="D77">
        <v>0.24529999999999999</v>
      </c>
      <c r="E77">
        <f t="shared" si="5"/>
        <v>1.0018032458425169E-4</v>
      </c>
      <c r="F77">
        <f t="shared" si="6"/>
        <v>0</v>
      </c>
      <c r="G77">
        <f t="shared" si="7"/>
        <v>5.9272918861960015E-3</v>
      </c>
    </row>
    <row r="78" spans="1:7" x14ac:dyDescent="0.25">
      <c r="A78">
        <v>44.2423</v>
      </c>
      <c r="B78">
        <v>2E-3</v>
      </c>
      <c r="C78">
        <v>1E-4</v>
      </c>
      <c r="D78">
        <v>0.24979999999999999</v>
      </c>
      <c r="E78">
        <f t="shared" si="5"/>
        <v>1.0019036168720574E-4</v>
      </c>
      <c r="F78">
        <f t="shared" si="6"/>
        <v>0</v>
      </c>
      <c r="G78">
        <f t="shared" si="7"/>
        <v>5.9626341592685884E-3</v>
      </c>
    </row>
    <row r="79" spans="1:7" x14ac:dyDescent="0.25">
      <c r="A79">
        <v>44.941600000000001</v>
      </c>
      <c r="B79">
        <v>2.0999999999999999E-3</v>
      </c>
      <c r="C79">
        <v>1E-4</v>
      </c>
      <c r="D79">
        <v>0.25390000000000001</v>
      </c>
      <c r="E79">
        <f t="shared" si="5"/>
        <v>1.0020040080160303E-4</v>
      </c>
      <c r="F79">
        <f t="shared" si="6"/>
        <v>0</v>
      </c>
      <c r="G79">
        <f t="shared" si="7"/>
        <v>5.4652092775260199E-3</v>
      </c>
    </row>
    <row r="80" spans="1:7" x14ac:dyDescent="0.25">
      <c r="A80">
        <v>45.640999999999998</v>
      </c>
      <c r="B80">
        <v>2.2000000000000001E-3</v>
      </c>
      <c r="C80">
        <v>1E-4</v>
      </c>
      <c r="D80">
        <v>0.25800000000000001</v>
      </c>
      <c r="E80">
        <f t="shared" si="5"/>
        <v>1.0021044192804916E-4</v>
      </c>
      <c r="F80">
        <f t="shared" si="6"/>
        <v>0</v>
      </c>
      <c r="G80">
        <f t="shared" si="7"/>
        <v>5.4952419246749665E-3</v>
      </c>
    </row>
    <row r="81" spans="1:7" x14ac:dyDescent="0.25">
      <c r="A81">
        <v>46.340299999999999</v>
      </c>
      <c r="B81">
        <v>2.3E-3</v>
      </c>
      <c r="C81">
        <v>1E-4</v>
      </c>
      <c r="D81">
        <v>0.2621</v>
      </c>
      <c r="E81">
        <f t="shared" si="5"/>
        <v>1.0022048506714755E-4</v>
      </c>
      <c r="F81">
        <f t="shared" si="6"/>
        <v>0</v>
      </c>
      <c r="G81">
        <f t="shared" si="7"/>
        <v>5.5256064690026854E-3</v>
      </c>
    </row>
    <row r="82" spans="1:7" x14ac:dyDescent="0.25">
      <c r="A82">
        <v>47.0396</v>
      </c>
      <c r="B82">
        <v>2.3999999999999998E-3</v>
      </c>
      <c r="C82">
        <v>1E-4</v>
      </c>
      <c r="D82">
        <v>0.26619999999999999</v>
      </c>
      <c r="E82">
        <f t="shared" si="5"/>
        <v>1.0023053021950469E-4</v>
      </c>
      <c r="F82">
        <f t="shared" si="6"/>
        <v>0</v>
      </c>
      <c r="G82">
        <f t="shared" si="7"/>
        <v>5.5563084428784286E-3</v>
      </c>
    </row>
    <row r="83" spans="1:7" x14ac:dyDescent="0.25">
      <c r="A83">
        <v>47.722099999999998</v>
      </c>
      <c r="B83">
        <v>2.5000000000000001E-3</v>
      </c>
      <c r="C83">
        <v>1E-4</v>
      </c>
      <c r="D83">
        <v>0.27010000000000001</v>
      </c>
      <c r="E83">
        <f t="shared" si="5"/>
        <v>1.00240577385726E-4</v>
      </c>
      <c r="F83">
        <f t="shared" si="6"/>
        <v>0</v>
      </c>
      <c r="G83">
        <f t="shared" si="7"/>
        <v>5.3147996729354247E-3</v>
      </c>
    </row>
    <row r="84" spans="1:7" x14ac:dyDescent="0.25">
      <c r="A84">
        <v>48.404600000000002</v>
      </c>
      <c r="B84">
        <v>2.5999999999999999E-3</v>
      </c>
      <c r="C84">
        <v>1E-4</v>
      </c>
      <c r="D84">
        <v>0.27400000000000002</v>
      </c>
      <c r="E84">
        <f t="shared" si="5"/>
        <v>1.0025062656641587E-4</v>
      </c>
      <c r="F84">
        <f t="shared" si="6"/>
        <v>0</v>
      </c>
      <c r="G84">
        <f t="shared" si="7"/>
        <v>5.3431976983148574E-3</v>
      </c>
    </row>
    <row r="85" spans="1:7" x14ac:dyDescent="0.25">
      <c r="A85">
        <v>49.0871</v>
      </c>
      <c r="B85">
        <v>2.7000000000000001E-3</v>
      </c>
      <c r="C85">
        <v>1E-4</v>
      </c>
      <c r="D85">
        <v>0.27789999999999998</v>
      </c>
      <c r="E85">
        <f t="shared" si="5"/>
        <v>1.0026067776218194E-4</v>
      </c>
      <c r="F85">
        <f t="shared" si="6"/>
        <v>0</v>
      </c>
      <c r="G85">
        <f t="shared" si="7"/>
        <v>5.3719008264462246E-3</v>
      </c>
    </row>
    <row r="86" spans="1:7" x14ac:dyDescent="0.25">
      <c r="A86">
        <v>49.769599999999997</v>
      </c>
      <c r="B86">
        <v>2.8999999999999998E-3</v>
      </c>
      <c r="C86">
        <v>1E-4</v>
      </c>
      <c r="D86">
        <v>0.28170000000000001</v>
      </c>
      <c r="E86">
        <f t="shared" si="5"/>
        <v>2.0054146194725726E-4</v>
      </c>
      <c r="F86">
        <f t="shared" si="6"/>
        <v>0</v>
      </c>
      <c r="G86">
        <f t="shared" si="7"/>
        <v>5.2624290264506662E-3</v>
      </c>
    </row>
    <row r="87" spans="1:7" x14ac:dyDescent="0.25">
      <c r="A87">
        <v>50.4863</v>
      </c>
      <c r="B87">
        <v>3.0000000000000001E-3</v>
      </c>
      <c r="C87">
        <v>2.0000000000000001E-4</v>
      </c>
      <c r="D87">
        <v>0.2858</v>
      </c>
      <c r="E87">
        <f t="shared" si="5"/>
        <v>1.0029084344599365E-4</v>
      </c>
      <c r="F87">
        <f t="shared" si="6"/>
        <v>1.0001000100010001E-4</v>
      </c>
      <c r="G87">
        <f t="shared" si="7"/>
        <v>5.7079214812752231E-3</v>
      </c>
    </row>
    <row r="88" spans="1:7" x14ac:dyDescent="0.25">
      <c r="A88">
        <v>51.203099999999999</v>
      </c>
      <c r="B88">
        <v>3.2000000000000002E-3</v>
      </c>
      <c r="C88">
        <v>2.0000000000000001E-4</v>
      </c>
      <c r="D88">
        <v>0.2898</v>
      </c>
      <c r="E88">
        <f t="shared" si="5"/>
        <v>2.0060180541624884E-4</v>
      </c>
      <c r="F88">
        <f t="shared" si="6"/>
        <v>0</v>
      </c>
      <c r="G88">
        <f t="shared" si="7"/>
        <v>5.6006720806496832E-3</v>
      </c>
    </row>
    <row r="89" spans="1:7" x14ac:dyDescent="0.25">
      <c r="A89">
        <v>51.919800000000002</v>
      </c>
      <c r="B89">
        <v>3.3E-3</v>
      </c>
      <c r="C89">
        <v>2.0000000000000001E-4</v>
      </c>
      <c r="D89">
        <v>0.29380000000000001</v>
      </c>
      <c r="E89">
        <f t="shared" si="5"/>
        <v>1.0032102728731925E-4</v>
      </c>
      <c r="F89">
        <f t="shared" si="6"/>
        <v>0</v>
      </c>
      <c r="G89">
        <f t="shared" si="7"/>
        <v>5.6322162771050462E-3</v>
      </c>
    </row>
    <row r="90" spans="1:7" x14ac:dyDescent="0.25">
      <c r="A90">
        <v>52.636499999999998</v>
      </c>
      <c r="B90">
        <v>3.5000000000000001E-3</v>
      </c>
      <c r="C90">
        <v>2.0000000000000001E-4</v>
      </c>
      <c r="D90">
        <v>0.29770000000000002</v>
      </c>
      <c r="E90">
        <f t="shared" si="5"/>
        <v>2.0066218521119704E-4</v>
      </c>
      <c r="F90">
        <f t="shared" si="6"/>
        <v>0</v>
      </c>
      <c r="G90">
        <f t="shared" si="7"/>
        <v>5.5225148683092822E-3</v>
      </c>
    </row>
    <row r="91" spans="1:7" x14ac:dyDescent="0.25">
      <c r="A91">
        <v>53.390799999999999</v>
      </c>
      <c r="B91">
        <v>3.5999999999999999E-3</v>
      </c>
      <c r="C91">
        <v>2.0000000000000001E-4</v>
      </c>
      <c r="D91">
        <v>0.30180000000000001</v>
      </c>
      <c r="E91">
        <f t="shared" si="5"/>
        <v>1.0035122930255878E-4</v>
      </c>
      <c r="F91">
        <f t="shared" si="6"/>
        <v>0</v>
      </c>
      <c r="G91">
        <f t="shared" si="7"/>
        <v>5.8379609853338931E-3</v>
      </c>
    </row>
    <row r="92" spans="1:7" x14ac:dyDescent="0.25">
      <c r="A92">
        <v>54.145000000000003</v>
      </c>
      <c r="B92">
        <v>3.8E-3</v>
      </c>
      <c r="C92">
        <v>2.0000000000000001E-4</v>
      </c>
      <c r="D92">
        <v>0.30599999999999999</v>
      </c>
      <c r="E92">
        <f t="shared" si="5"/>
        <v>2.0072260136491378E-4</v>
      </c>
      <c r="F92">
        <f t="shared" si="6"/>
        <v>0</v>
      </c>
      <c r="G92">
        <f t="shared" si="7"/>
        <v>6.0154683471784331E-3</v>
      </c>
    </row>
    <row r="93" spans="1:7" x14ac:dyDescent="0.25">
      <c r="A93">
        <v>54.899299999999997</v>
      </c>
      <c r="B93">
        <v>4.0000000000000001E-3</v>
      </c>
      <c r="C93">
        <v>2.0000000000000001E-4</v>
      </c>
      <c r="D93">
        <v>0.31</v>
      </c>
      <c r="E93">
        <f t="shared" si="5"/>
        <v>2.0076289901626188E-4</v>
      </c>
      <c r="F93">
        <f t="shared" si="6"/>
        <v>0</v>
      </c>
      <c r="G93">
        <f t="shared" si="7"/>
        <v>5.7636887608069221E-3</v>
      </c>
    </row>
    <row r="94" spans="1:7" x14ac:dyDescent="0.25">
      <c r="A94">
        <v>55.653500000000001</v>
      </c>
      <c r="B94">
        <v>4.1999999999999997E-3</v>
      </c>
      <c r="C94">
        <v>2.9999999999999997E-4</v>
      </c>
      <c r="D94">
        <v>0.31409999999999999</v>
      </c>
      <c r="E94">
        <f t="shared" si="5"/>
        <v>2.0080321285140528E-4</v>
      </c>
      <c r="F94">
        <f t="shared" si="6"/>
        <v>1.0002000400080012E-4</v>
      </c>
      <c r="G94">
        <f t="shared" si="7"/>
        <v>5.942028985507236E-3</v>
      </c>
    </row>
    <row r="95" spans="1:7" x14ac:dyDescent="0.25">
      <c r="A95">
        <v>56.402000000000001</v>
      </c>
      <c r="B95">
        <v>4.4000000000000003E-3</v>
      </c>
      <c r="C95">
        <v>2.9999999999999997E-4</v>
      </c>
      <c r="D95">
        <v>0.31809999999999999</v>
      </c>
      <c r="E95">
        <f t="shared" si="5"/>
        <v>2.0084354288009692E-4</v>
      </c>
      <c r="F95">
        <f t="shared" si="6"/>
        <v>0</v>
      </c>
      <c r="G95">
        <f t="shared" si="7"/>
        <v>5.8317538999854259E-3</v>
      </c>
    </row>
    <row r="96" spans="1:7" x14ac:dyDescent="0.25">
      <c r="A96">
        <v>57.150399999999998</v>
      </c>
      <c r="B96">
        <v>4.5999999999999999E-3</v>
      </c>
      <c r="C96">
        <v>2.9999999999999997E-4</v>
      </c>
      <c r="D96">
        <v>0.3221</v>
      </c>
      <c r="E96">
        <f t="shared" si="5"/>
        <v>2.0088388911209285E-4</v>
      </c>
      <c r="F96">
        <f t="shared" si="6"/>
        <v>0</v>
      </c>
      <c r="G96">
        <f t="shared" si="7"/>
        <v>5.8659627511365355E-3</v>
      </c>
    </row>
    <row r="97" spans="1:11" x14ac:dyDescent="0.25">
      <c r="A97">
        <v>57.898800000000001</v>
      </c>
      <c r="B97">
        <v>4.7999999999999996E-3</v>
      </c>
      <c r="C97">
        <v>2.9999999999999997E-4</v>
      </c>
      <c r="D97">
        <v>0.32600000000000001</v>
      </c>
      <c r="E97">
        <f t="shared" si="5"/>
        <v>2.0092425155716261E-4</v>
      </c>
      <c r="F97">
        <f t="shared" si="6"/>
        <v>0</v>
      </c>
      <c r="G97">
        <f t="shared" si="7"/>
        <v>5.753060923440057E-3</v>
      </c>
    </row>
    <row r="98" spans="1:11" x14ac:dyDescent="0.25">
      <c r="A98">
        <v>58.647199999999998</v>
      </c>
      <c r="B98">
        <v>5.0000000000000001E-3</v>
      </c>
      <c r="C98">
        <v>2.9999999999999997E-4</v>
      </c>
      <c r="D98">
        <v>0.32990000000000003</v>
      </c>
      <c r="E98">
        <f t="shared" si="5"/>
        <v>2.0096463022508093E-4</v>
      </c>
      <c r="F98">
        <f t="shared" si="6"/>
        <v>0</v>
      </c>
      <c r="G98">
        <f t="shared" si="7"/>
        <v>5.786350148367975E-3</v>
      </c>
    </row>
    <row r="99" spans="1:11" x14ac:dyDescent="0.25">
      <c r="A99">
        <v>59.361400000000003</v>
      </c>
      <c r="B99">
        <v>5.1999999999999998E-3</v>
      </c>
      <c r="C99">
        <v>4.0000000000000002E-4</v>
      </c>
      <c r="D99">
        <v>0.3337</v>
      </c>
      <c r="E99">
        <f t="shared" si="5"/>
        <v>2.0100502512562779E-4</v>
      </c>
      <c r="F99">
        <f t="shared" si="6"/>
        <v>1.0003000900270085E-4</v>
      </c>
      <c r="G99">
        <f t="shared" si="7"/>
        <v>5.6707954036710499E-3</v>
      </c>
    </row>
    <row r="100" spans="1:11" x14ac:dyDescent="0.25">
      <c r="A100">
        <v>60.075600000000001</v>
      </c>
      <c r="B100">
        <v>5.4999999999999997E-3</v>
      </c>
      <c r="C100">
        <v>4.0000000000000002E-4</v>
      </c>
      <c r="D100">
        <v>0.33729999999999999</v>
      </c>
      <c r="E100">
        <f t="shared" si="5"/>
        <v>3.0156815440289498E-4</v>
      </c>
      <c r="F100">
        <f t="shared" si="6"/>
        <v>0</v>
      </c>
      <c r="G100">
        <f t="shared" si="7"/>
        <v>5.4029716343989079E-3</v>
      </c>
    </row>
    <row r="101" spans="1:11" x14ac:dyDescent="0.25">
      <c r="A101">
        <v>60.7898</v>
      </c>
      <c r="B101">
        <v>5.7000000000000002E-3</v>
      </c>
      <c r="C101">
        <v>4.0000000000000002E-4</v>
      </c>
      <c r="D101">
        <v>0.34079999999999999</v>
      </c>
      <c r="E101">
        <f t="shared" si="5"/>
        <v>2.0110608345902514E-4</v>
      </c>
      <c r="F101">
        <f t="shared" si="6"/>
        <v>0</v>
      </c>
      <c r="G101">
        <f t="shared" si="7"/>
        <v>5.2814244756300022E-3</v>
      </c>
      <c r="I101">
        <f>B101</f>
        <v>5.7000000000000002E-3</v>
      </c>
      <c r="J101">
        <f t="shared" ref="J101:K101" si="8">C101</f>
        <v>4.0000000000000002E-4</v>
      </c>
      <c r="K101">
        <f t="shared" si="8"/>
        <v>0.34079999999999999</v>
      </c>
    </row>
    <row r="102" spans="1:11" x14ac:dyDescent="0.25">
      <c r="A102">
        <v>61.503999999999998</v>
      </c>
      <c r="B102">
        <v>5.8999999999999999E-3</v>
      </c>
      <c r="C102">
        <v>4.0000000000000002E-4</v>
      </c>
      <c r="D102">
        <v>0.34410000000000002</v>
      </c>
      <c r="E102">
        <f t="shared" si="5"/>
        <v>2.0114653525092998E-4</v>
      </c>
      <c r="F102">
        <f t="shared" si="6"/>
        <v>0</v>
      </c>
      <c r="G102">
        <f t="shared" si="7"/>
        <v>5.0060679611650862E-3</v>
      </c>
    </row>
    <row r="103" spans="1:11" x14ac:dyDescent="0.25">
      <c r="A103">
        <v>62.1282</v>
      </c>
      <c r="B103">
        <v>6.1999999999999998E-3</v>
      </c>
      <c r="C103">
        <v>4.0000000000000002E-4</v>
      </c>
      <c r="D103">
        <v>0.34710000000000002</v>
      </c>
      <c r="E103">
        <f t="shared" si="5"/>
        <v>3.0178050497937827E-4</v>
      </c>
      <c r="F103">
        <f t="shared" si="6"/>
        <v>0</v>
      </c>
      <c r="G103">
        <f t="shared" si="7"/>
        <v>4.5738679676780043E-3</v>
      </c>
    </row>
    <row r="104" spans="1:11" x14ac:dyDescent="0.25">
      <c r="A104">
        <v>62.752400000000002</v>
      </c>
      <c r="B104">
        <v>6.4000000000000003E-3</v>
      </c>
      <c r="C104">
        <v>5.0000000000000001E-4</v>
      </c>
      <c r="D104">
        <v>0.35</v>
      </c>
      <c r="E104">
        <f t="shared" si="5"/>
        <v>2.0124773596297095E-4</v>
      </c>
      <c r="F104">
        <f t="shared" si="6"/>
        <v>1.0004001600640255E-4</v>
      </c>
      <c r="G104">
        <f t="shared" si="7"/>
        <v>4.4417215500075942E-3</v>
      </c>
    </row>
    <row r="105" spans="1:11" x14ac:dyDescent="0.25">
      <c r="A105">
        <v>63.3765</v>
      </c>
      <c r="B105">
        <v>6.6E-3</v>
      </c>
      <c r="C105">
        <v>5.0000000000000001E-4</v>
      </c>
      <c r="D105">
        <v>0.35289999999999999</v>
      </c>
      <c r="E105">
        <f t="shared" si="5"/>
        <v>2.0128824476650528E-4</v>
      </c>
      <c r="F105">
        <f t="shared" si="6"/>
        <v>0</v>
      </c>
      <c r="G105">
        <f t="shared" si="7"/>
        <v>4.461538461538482E-3</v>
      </c>
    </row>
    <row r="106" spans="1:11" x14ac:dyDescent="0.25">
      <c r="A106">
        <v>64.000699999999995</v>
      </c>
      <c r="B106">
        <v>6.8999999999999999E-3</v>
      </c>
      <c r="C106">
        <v>5.0000000000000001E-4</v>
      </c>
      <c r="D106">
        <v>0.35580000000000001</v>
      </c>
      <c r="E106">
        <f t="shared" si="5"/>
        <v>3.0199315482182395E-4</v>
      </c>
      <c r="F106">
        <f t="shared" si="6"/>
        <v>0</v>
      </c>
      <c r="G106">
        <f t="shared" si="7"/>
        <v>4.4815329933549893E-3</v>
      </c>
    </row>
    <row r="107" spans="1:11" x14ac:dyDescent="0.25">
      <c r="A107">
        <v>64.717500000000001</v>
      </c>
      <c r="B107">
        <v>7.1000000000000004E-3</v>
      </c>
      <c r="C107">
        <v>5.0000000000000001E-4</v>
      </c>
      <c r="D107">
        <v>0.35909999999999997</v>
      </c>
      <c r="E107">
        <f t="shared" si="5"/>
        <v>2.0138958815829275E-4</v>
      </c>
      <c r="F107">
        <f t="shared" si="6"/>
        <v>0</v>
      </c>
      <c r="G107">
        <f t="shared" si="7"/>
        <v>5.1226327227568607E-3</v>
      </c>
    </row>
    <row r="108" spans="1:11" x14ac:dyDescent="0.25">
      <c r="A108">
        <v>65.434299999999993</v>
      </c>
      <c r="B108">
        <v>7.4000000000000003E-3</v>
      </c>
      <c r="C108">
        <v>5.9999999999999995E-4</v>
      </c>
      <c r="D108">
        <v>0.36230000000000001</v>
      </c>
      <c r="E108">
        <f t="shared" si="5"/>
        <v>3.0214523114110173E-4</v>
      </c>
      <c r="F108">
        <f t="shared" si="6"/>
        <v>1.0005002501250618E-4</v>
      </c>
      <c r="G108">
        <f t="shared" si="7"/>
        <v>4.9929786238103232E-3</v>
      </c>
    </row>
    <row r="109" spans="1:11" x14ac:dyDescent="0.25">
      <c r="A109">
        <v>66.150999999999996</v>
      </c>
      <c r="B109">
        <v>7.7000000000000002E-3</v>
      </c>
      <c r="C109">
        <v>5.9999999999999995E-4</v>
      </c>
      <c r="D109">
        <v>0.36559999999999998</v>
      </c>
      <c r="E109">
        <f t="shared" si="5"/>
        <v>3.0223655047350385E-4</v>
      </c>
      <c r="F109">
        <f t="shared" si="6"/>
        <v>0</v>
      </c>
      <c r="G109">
        <f t="shared" si="7"/>
        <v>5.1748471067899794E-3</v>
      </c>
    </row>
    <row r="110" spans="1:11" x14ac:dyDescent="0.25">
      <c r="A110">
        <v>66.867800000000003</v>
      </c>
      <c r="B110">
        <v>8.0000000000000002E-3</v>
      </c>
      <c r="C110">
        <v>5.9999999999999995E-4</v>
      </c>
      <c r="D110">
        <v>0.36880000000000002</v>
      </c>
      <c r="E110">
        <f t="shared" si="5"/>
        <v>3.0232792502267453E-4</v>
      </c>
      <c r="F110">
        <f t="shared" si="6"/>
        <v>0</v>
      </c>
      <c r="G110">
        <f t="shared" si="7"/>
        <v>5.0441361916772317E-3</v>
      </c>
    </row>
    <row r="111" spans="1:11" x14ac:dyDescent="0.25">
      <c r="A111">
        <v>67.644400000000005</v>
      </c>
      <c r="B111">
        <v>8.3999999999999995E-3</v>
      </c>
      <c r="C111">
        <v>6.9999999999999999E-4</v>
      </c>
      <c r="D111">
        <v>0.37230000000000002</v>
      </c>
      <c r="E111">
        <f t="shared" si="5"/>
        <v>4.032258064516122E-4</v>
      </c>
      <c r="F111">
        <f t="shared" si="6"/>
        <v>1.0006003602161302E-4</v>
      </c>
      <c r="G111">
        <f t="shared" si="7"/>
        <v>5.5449936628643908E-3</v>
      </c>
    </row>
    <row r="112" spans="1:11" x14ac:dyDescent="0.25">
      <c r="A112">
        <v>68.420900000000003</v>
      </c>
      <c r="B112">
        <v>8.6999999999999994E-3</v>
      </c>
      <c r="C112">
        <v>6.9999999999999999E-4</v>
      </c>
      <c r="D112">
        <v>0.37569999999999998</v>
      </c>
      <c r="E112">
        <f t="shared" si="5"/>
        <v>3.0254134731746665E-4</v>
      </c>
      <c r="F112">
        <f t="shared" si="6"/>
        <v>0</v>
      </c>
      <c r="G112">
        <f t="shared" si="7"/>
        <v>5.4166002867611267E-3</v>
      </c>
    </row>
    <row r="113" spans="1:7" x14ac:dyDescent="0.25">
      <c r="A113">
        <v>69.197400000000002</v>
      </c>
      <c r="B113">
        <v>9.1000000000000004E-3</v>
      </c>
      <c r="C113">
        <v>8.0000000000000004E-4</v>
      </c>
      <c r="D113">
        <v>0.37909999999999999</v>
      </c>
      <c r="E113">
        <f t="shared" si="5"/>
        <v>4.0351054171290331E-4</v>
      </c>
      <c r="F113">
        <f t="shared" si="6"/>
        <v>1.0007004903432408E-4</v>
      </c>
      <c r="G113">
        <f t="shared" si="7"/>
        <v>5.4460996315873998E-3</v>
      </c>
    </row>
    <row r="114" spans="1:7" x14ac:dyDescent="0.25">
      <c r="A114">
        <v>69.974000000000004</v>
      </c>
      <c r="B114">
        <v>9.4999999999999998E-3</v>
      </c>
      <c r="C114">
        <v>8.0000000000000004E-4</v>
      </c>
      <c r="D114">
        <v>0.38250000000000001</v>
      </c>
      <c r="E114">
        <f t="shared" si="5"/>
        <v>4.0367342819658828E-4</v>
      </c>
      <c r="F114">
        <f t="shared" si="6"/>
        <v>0</v>
      </c>
      <c r="G114">
        <f t="shared" si="7"/>
        <v>5.4759220486390947E-3</v>
      </c>
    </row>
    <row r="115" spans="1:7" x14ac:dyDescent="0.25">
      <c r="A115">
        <v>70.719499999999996</v>
      </c>
      <c r="B115">
        <v>9.7999999999999997E-3</v>
      </c>
      <c r="C115">
        <v>8.9999999999999998E-4</v>
      </c>
      <c r="D115">
        <v>0.38569999999999999</v>
      </c>
      <c r="E115">
        <f t="shared" si="5"/>
        <v>3.0287733467945473E-4</v>
      </c>
      <c r="F115">
        <f t="shared" si="6"/>
        <v>1.0008006405124093E-4</v>
      </c>
      <c r="G115">
        <f t="shared" si="7"/>
        <v>5.1821862348177834E-3</v>
      </c>
    </row>
    <row r="116" spans="1:7" x14ac:dyDescent="0.25">
      <c r="A116">
        <v>71.465100000000007</v>
      </c>
      <c r="B116">
        <v>1.0200000000000001E-2</v>
      </c>
      <c r="C116">
        <v>8.9999999999999998E-4</v>
      </c>
      <c r="D116">
        <v>0.38900000000000001</v>
      </c>
      <c r="E116">
        <f t="shared" si="5"/>
        <v>4.0395879620278838E-4</v>
      </c>
      <c r="F116">
        <f t="shared" si="6"/>
        <v>0</v>
      </c>
      <c r="G116">
        <f t="shared" si="7"/>
        <v>5.3719680937653015E-3</v>
      </c>
    </row>
    <row r="117" spans="1:7" x14ac:dyDescent="0.25">
      <c r="A117">
        <v>72.210599999999999</v>
      </c>
      <c r="B117">
        <v>1.06E-2</v>
      </c>
      <c r="C117">
        <v>1E-3</v>
      </c>
      <c r="D117">
        <v>0.3921</v>
      </c>
      <c r="E117">
        <f t="shared" si="5"/>
        <v>4.0412204485754626E-4</v>
      </c>
      <c r="F117">
        <f t="shared" si="6"/>
        <v>1.0009008107296572E-4</v>
      </c>
      <c r="G117">
        <f t="shared" si="7"/>
        <v>5.0736497545008051E-3</v>
      </c>
    </row>
    <row r="118" spans="1:7" x14ac:dyDescent="0.25">
      <c r="A118">
        <v>72.956100000000006</v>
      </c>
      <c r="B118">
        <v>1.0999999999999999E-2</v>
      </c>
      <c r="C118">
        <v>1E-3</v>
      </c>
      <c r="D118">
        <v>0.39529999999999998</v>
      </c>
      <c r="E118">
        <f t="shared" si="5"/>
        <v>4.0428542551040967E-4</v>
      </c>
      <c r="F118">
        <f t="shared" si="6"/>
        <v>0</v>
      </c>
      <c r="G118">
        <f t="shared" si="7"/>
        <v>5.2640236881065644E-3</v>
      </c>
    </row>
    <row r="119" spans="1:7" x14ac:dyDescent="0.25">
      <c r="A119">
        <v>73.649500000000003</v>
      </c>
      <c r="B119">
        <v>1.14E-2</v>
      </c>
      <c r="C119">
        <v>1.1000000000000001E-3</v>
      </c>
      <c r="D119">
        <v>0.3982</v>
      </c>
      <c r="E119">
        <f t="shared" si="5"/>
        <v>4.04448938321538E-4</v>
      </c>
      <c r="F119">
        <f t="shared" si="6"/>
        <v>1.0010010010010015E-4</v>
      </c>
      <c r="G119">
        <f t="shared" si="7"/>
        <v>4.7957664957830552E-3</v>
      </c>
    </row>
    <row r="120" spans="1:7" x14ac:dyDescent="0.25">
      <c r="A120">
        <v>74.3429</v>
      </c>
      <c r="B120">
        <v>1.18E-2</v>
      </c>
      <c r="C120">
        <v>1.1000000000000001E-3</v>
      </c>
      <c r="D120">
        <v>0.40110000000000001</v>
      </c>
      <c r="E120">
        <f t="shared" si="5"/>
        <v>4.0461258345134463E-4</v>
      </c>
      <c r="F120">
        <f t="shared" si="6"/>
        <v>0</v>
      </c>
      <c r="G120">
        <f t="shared" si="7"/>
        <v>4.8188767032236847E-3</v>
      </c>
    </row>
    <row r="121" spans="1:7" x14ac:dyDescent="0.25">
      <c r="A121">
        <v>75.036199999999994</v>
      </c>
      <c r="B121">
        <v>1.2200000000000001E-2</v>
      </c>
      <c r="C121">
        <v>1.1999999999999999E-3</v>
      </c>
      <c r="D121">
        <v>0.40400000000000003</v>
      </c>
      <c r="E121">
        <f t="shared" si="5"/>
        <v>4.0477636106051512E-4</v>
      </c>
      <c r="F121">
        <f t="shared" si="6"/>
        <v>1.0011012113324639E-4</v>
      </c>
      <c r="G121">
        <f t="shared" si="7"/>
        <v>4.8422107196527198E-3</v>
      </c>
    </row>
    <row r="122" spans="1:7" x14ac:dyDescent="0.25">
      <c r="A122">
        <v>75.729600000000005</v>
      </c>
      <c r="B122">
        <v>1.26E-2</v>
      </c>
      <c r="C122">
        <v>1.1999999999999999E-3</v>
      </c>
      <c r="D122">
        <v>0.40689999999999998</v>
      </c>
      <c r="E122">
        <f t="shared" si="5"/>
        <v>4.0494027130998106E-4</v>
      </c>
      <c r="F122">
        <f t="shared" si="6"/>
        <v>0</v>
      </c>
      <c r="G122">
        <f t="shared" si="7"/>
        <v>4.8657718120804667E-3</v>
      </c>
    </row>
    <row r="123" spans="1:7" x14ac:dyDescent="0.25">
      <c r="A123">
        <v>76.410499999999999</v>
      </c>
      <c r="B123">
        <v>1.3100000000000001E-2</v>
      </c>
      <c r="C123">
        <v>1.2999999999999999E-3</v>
      </c>
      <c r="D123">
        <v>0.40970000000000001</v>
      </c>
      <c r="E123">
        <f t="shared" si="5"/>
        <v>5.0638039295118533E-4</v>
      </c>
      <c r="F123">
        <f t="shared" si="6"/>
        <v>1.0012014417300765E-4</v>
      </c>
      <c r="G123">
        <f t="shared" si="7"/>
        <v>4.7209576799865536E-3</v>
      </c>
    </row>
    <row r="124" spans="1:7" x14ac:dyDescent="0.25">
      <c r="A124">
        <v>77.091399999999993</v>
      </c>
      <c r="B124">
        <v>1.35E-2</v>
      </c>
      <c r="C124">
        <v>1.4E-3</v>
      </c>
      <c r="D124">
        <v>0.41249999999999998</v>
      </c>
      <c r="E124">
        <f t="shared" si="5"/>
        <v>4.0530955517276249E-4</v>
      </c>
      <c r="F124">
        <f t="shared" si="6"/>
        <v>1.0013016921998602E-4</v>
      </c>
      <c r="G124">
        <f t="shared" si="7"/>
        <v>4.7433508385566134E-3</v>
      </c>
    </row>
    <row r="125" spans="1:7" x14ac:dyDescent="0.25">
      <c r="A125">
        <v>77.772199999999998</v>
      </c>
      <c r="B125">
        <v>1.3899999999999999E-2</v>
      </c>
      <c r="C125">
        <v>1.4E-3</v>
      </c>
      <c r="D125">
        <v>0.41520000000000001</v>
      </c>
      <c r="E125">
        <f t="shared" si="5"/>
        <v>4.0547389761784014E-4</v>
      </c>
      <c r="F125">
        <f t="shared" si="6"/>
        <v>0</v>
      </c>
      <c r="G125">
        <f t="shared" si="7"/>
        <v>4.5957446808511243E-3</v>
      </c>
    </row>
    <row r="126" spans="1:7" x14ac:dyDescent="0.25">
      <c r="A126">
        <v>78.453100000000006</v>
      </c>
      <c r="B126">
        <v>1.44E-2</v>
      </c>
      <c r="C126">
        <v>1.5E-3</v>
      </c>
      <c r="D126">
        <v>0.41789999999999999</v>
      </c>
      <c r="E126">
        <f t="shared" si="5"/>
        <v>5.0704796673765385E-4</v>
      </c>
      <c r="F126">
        <f t="shared" si="6"/>
        <v>1.0014019627478474E-4</v>
      </c>
      <c r="G126">
        <f t="shared" si="7"/>
        <v>4.6169630642954517E-3</v>
      </c>
    </row>
    <row r="127" spans="1:7" x14ac:dyDescent="0.25">
      <c r="A127">
        <v>79.154899999999998</v>
      </c>
      <c r="B127">
        <v>1.49E-2</v>
      </c>
      <c r="C127">
        <v>1.6000000000000001E-3</v>
      </c>
      <c r="D127">
        <v>0.42070000000000002</v>
      </c>
      <c r="E127">
        <f t="shared" si="5"/>
        <v>5.0730519480519519E-4</v>
      </c>
      <c r="F127">
        <f t="shared" si="6"/>
        <v>1.0015022533800705E-4</v>
      </c>
      <c r="G127">
        <f t="shared" si="7"/>
        <v>4.8101700738705112E-3</v>
      </c>
    </row>
    <row r="128" spans="1:7" x14ac:dyDescent="0.25">
      <c r="A128">
        <v>79.856700000000004</v>
      </c>
      <c r="B128">
        <v>1.54E-2</v>
      </c>
      <c r="C128">
        <v>1.6000000000000001E-3</v>
      </c>
      <c r="D128">
        <v>0.42349999999999999</v>
      </c>
      <c r="E128">
        <f t="shared" si="5"/>
        <v>5.0756268399147341E-4</v>
      </c>
      <c r="F128">
        <f t="shared" si="6"/>
        <v>0</v>
      </c>
      <c r="G128">
        <f t="shared" si="7"/>
        <v>4.8334196443983596E-3</v>
      </c>
    </row>
    <row r="129" spans="1:10" x14ac:dyDescent="0.25">
      <c r="A129">
        <v>80.558599999999998</v>
      </c>
      <c r="B129">
        <v>1.5900000000000001E-2</v>
      </c>
      <c r="C129">
        <v>1.6999999999999999E-3</v>
      </c>
      <c r="D129">
        <v>0.42630000000000001</v>
      </c>
      <c r="E129">
        <f t="shared" si="5"/>
        <v>5.0782043469429258E-4</v>
      </c>
      <c r="F129">
        <f t="shared" si="6"/>
        <v>1.0016025641025624E-4</v>
      </c>
      <c r="G129">
        <f t="shared" si="7"/>
        <v>4.8568950563747174E-3</v>
      </c>
    </row>
    <row r="130" spans="1:10" x14ac:dyDescent="0.25">
      <c r="A130">
        <v>81.260400000000004</v>
      </c>
      <c r="B130">
        <v>1.6400000000000001E-2</v>
      </c>
      <c r="C130">
        <v>1.8E-3</v>
      </c>
      <c r="D130">
        <v>0.42899999999999999</v>
      </c>
      <c r="E130">
        <f t="shared" si="5"/>
        <v>5.0807844731226549E-4</v>
      </c>
      <c r="F130">
        <f t="shared" si="6"/>
        <v>1.0017028949213668E-4</v>
      </c>
      <c r="G130">
        <f t="shared" si="7"/>
        <v>4.7062924873626987E-3</v>
      </c>
    </row>
    <row r="131" spans="1:10" x14ac:dyDescent="0.25">
      <c r="A131">
        <v>81.974500000000006</v>
      </c>
      <c r="B131">
        <v>1.6899999999999998E-2</v>
      </c>
      <c r="C131">
        <v>1.9E-3</v>
      </c>
      <c r="D131">
        <v>0.43180000000000002</v>
      </c>
      <c r="E131">
        <f t="shared" si="5"/>
        <v>5.0833672224481188E-4</v>
      </c>
      <c r="F131">
        <f t="shared" si="6"/>
        <v>1.0018032458425169E-4</v>
      </c>
      <c r="G131">
        <f t="shared" si="7"/>
        <v>4.9036777583187823E-3</v>
      </c>
    </row>
    <row r="132" spans="1:10" x14ac:dyDescent="0.25">
      <c r="A132">
        <v>82.688699999999997</v>
      </c>
      <c r="B132">
        <v>1.7399999999999999E-2</v>
      </c>
      <c r="C132">
        <v>2E-3</v>
      </c>
      <c r="D132">
        <v>0.4345</v>
      </c>
      <c r="E132">
        <f t="shared" si="5"/>
        <v>5.0859525989217823E-4</v>
      </c>
      <c r="F132">
        <f t="shared" si="6"/>
        <v>1.0019036168720574E-4</v>
      </c>
      <c r="G132">
        <f t="shared" si="7"/>
        <v>4.7518479408658575E-3</v>
      </c>
    </row>
    <row r="133" spans="1:10" x14ac:dyDescent="0.25">
      <c r="A133">
        <v>83.402799999999999</v>
      </c>
      <c r="B133">
        <v>1.7999999999999999E-2</v>
      </c>
      <c r="C133">
        <v>2E-3</v>
      </c>
      <c r="D133">
        <v>0.43730000000000002</v>
      </c>
      <c r="E133">
        <f t="shared" si="5"/>
        <v>6.1062487278648462E-4</v>
      </c>
      <c r="F133">
        <f t="shared" si="6"/>
        <v>0</v>
      </c>
      <c r="G133">
        <f t="shared" si="7"/>
        <v>4.9513704686118916E-3</v>
      </c>
    </row>
    <row r="134" spans="1:10" x14ac:dyDescent="0.25">
      <c r="A134">
        <v>84.117000000000004</v>
      </c>
      <c r="B134">
        <v>1.8599999999999998E-2</v>
      </c>
      <c r="C134">
        <v>2.0999999999999999E-3</v>
      </c>
      <c r="D134">
        <v>0.44</v>
      </c>
      <c r="E134">
        <f t="shared" si="5"/>
        <v>6.1099796334012203E-4</v>
      </c>
      <c r="F134">
        <f t="shared" si="6"/>
        <v>1.0020040080160303E-4</v>
      </c>
      <c r="G134">
        <f t="shared" si="7"/>
        <v>4.7982939399324335E-3</v>
      </c>
    </row>
    <row r="135" spans="1:10" x14ac:dyDescent="0.25">
      <c r="A135">
        <v>84.822800000000001</v>
      </c>
      <c r="B135">
        <v>1.9099999999999999E-2</v>
      </c>
      <c r="C135">
        <v>2.2000000000000001E-3</v>
      </c>
      <c r="D135">
        <v>0.44259999999999999</v>
      </c>
      <c r="E135">
        <f t="shared" si="5"/>
        <v>5.0947625840635873E-4</v>
      </c>
      <c r="F135">
        <f t="shared" si="6"/>
        <v>1.0021044192804916E-4</v>
      </c>
      <c r="G135">
        <f t="shared" si="7"/>
        <v>4.6428571428571265E-3</v>
      </c>
    </row>
    <row r="136" spans="1:10" x14ac:dyDescent="0.25">
      <c r="A136">
        <v>85.528599999999997</v>
      </c>
      <c r="B136">
        <v>1.9699999999999999E-2</v>
      </c>
      <c r="C136">
        <v>2.3E-3</v>
      </c>
      <c r="D136">
        <v>0.44529999999999997</v>
      </c>
      <c r="E136">
        <f t="shared" ref="E136:E199" si="9">(B136-B135)/(1-B135)</f>
        <v>6.1168314812926885E-4</v>
      </c>
      <c r="F136">
        <f t="shared" ref="F136:F199" si="10">(C136-C135)/(1-C135)</f>
        <v>1.0022048506714755E-4</v>
      </c>
      <c r="G136">
        <f t="shared" ref="G136:G199" si="11">(D136-D135)/(1-D135)</f>
        <v>4.8439181916038396E-3</v>
      </c>
    </row>
    <row r="137" spans="1:10" x14ac:dyDescent="0.25">
      <c r="A137">
        <v>86.234300000000005</v>
      </c>
      <c r="B137">
        <v>2.0299999999999999E-2</v>
      </c>
      <c r="C137">
        <v>2.3999999999999998E-3</v>
      </c>
      <c r="D137">
        <v>0.44790000000000002</v>
      </c>
      <c r="E137">
        <f t="shared" si="9"/>
        <v>6.1205753340814019E-4</v>
      </c>
      <c r="F137">
        <f t="shared" si="10"/>
        <v>1.0023053021950469E-4</v>
      </c>
      <c r="G137">
        <f t="shared" si="11"/>
        <v>4.6872183162070431E-3</v>
      </c>
    </row>
    <row r="138" spans="1:10" x14ac:dyDescent="0.25">
      <c r="A138">
        <v>86.940100000000001</v>
      </c>
      <c r="B138">
        <v>2.0899999999999998E-2</v>
      </c>
      <c r="C138">
        <v>2.5000000000000001E-3</v>
      </c>
      <c r="D138">
        <v>0.45050000000000001</v>
      </c>
      <c r="E138">
        <f t="shared" si="9"/>
        <v>6.1243237725834424E-4</v>
      </c>
      <c r="F138">
        <f t="shared" si="10"/>
        <v>1.00240577385726E-4</v>
      </c>
      <c r="G138">
        <f t="shared" si="11"/>
        <v>4.7092917949646644E-3</v>
      </c>
    </row>
    <row r="139" spans="1:10" x14ac:dyDescent="0.25">
      <c r="A139">
        <v>87.634299999999996</v>
      </c>
      <c r="B139">
        <v>2.1499999999999998E-2</v>
      </c>
      <c r="C139">
        <v>2.5999999999999999E-3</v>
      </c>
      <c r="D139">
        <v>0.45300000000000001</v>
      </c>
      <c r="E139">
        <f t="shared" si="9"/>
        <v>6.1280768052292907E-4</v>
      </c>
      <c r="F139">
        <f t="shared" si="10"/>
        <v>1.0025062656641587E-4</v>
      </c>
      <c r="G139">
        <f t="shared" si="11"/>
        <v>4.5495905368516873E-3</v>
      </c>
    </row>
    <row r="140" spans="1:10" x14ac:dyDescent="0.25">
      <c r="A140">
        <v>88.328500000000005</v>
      </c>
      <c r="B140">
        <v>2.2100000000000002E-2</v>
      </c>
      <c r="C140">
        <v>2.7000000000000001E-3</v>
      </c>
      <c r="D140">
        <v>0.45550000000000002</v>
      </c>
      <c r="E140">
        <f t="shared" si="9"/>
        <v>6.1318344404701411E-4</v>
      </c>
      <c r="F140">
        <f t="shared" si="10"/>
        <v>1.0026067776218194E-4</v>
      </c>
      <c r="G140">
        <f t="shared" si="11"/>
        <v>4.5703839122486333E-3</v>
      </c>
    </row>
    <row r="141" spans="1:10" x14ac:dyDescent="0.25">
      <c r="A141">
        <v>89.0227</v>
      </c>
      <c r="B141">
        <v>2.2800000000000001E-2</v>
      </c>
      <c r="C141">
        <v>2.8999999999999998E-3</v>
      </c>
      <c r="D141">
        <v>0.45800000000000002</v>
      </c>
      <c r="E141">
        <f t="shared" si="9"/>
        <v>7.1581961345740794E-4</v>
      </c>
      <c r="F141">
        <f t="shared" si="10"/>
        <v>2.0054146194725726E-4</v>
      </c>
      <c r="G141">
        <f t="shared" si="11"/>
        <v>4.5913682277318683E-3</v>
      </c>
    </row>
    <row r="142" spans="1:10" x14ac:dyDescent="0.25">
      <c r="A142">
        <v>89.716899999999995</v>
      </c>
      <c r="B142">
        <v>2.3400000000000001E-2</v>
      </c>
      <c r="C142">
        <v>3.0000000000000001E-3</v>
      </c>
      <c r="D142">
        <v>0.46050000000000002</v>
      </c>
      <c r="E142">
        <f t="shared" si="9"/>
        <v>6.1399918133442474E-4</v>
      </c>
      <c r="F142">
        <f t="shared" si="10"/>
        <v>1.0029084344599365E-4</v>
      </c>
      <c r="G142">
        <f t="shared" si="11"/>
        <v>4.6125461254612581E-3</v>
      </c>
      <c r="J142">
        <f>3*365/12</f>
        <v>91.25</v>
      </c>
    </row>
    <row r="143" spans="1:10" x14ac:dyDescent="0.25">
      <c r="A143">
        <v>90.170400000000001</v>
      </c>
      <c r="B143">
        <v>2.3800000000000002E-2</v>
      </c>
      <c r="C143">
        <v>3.0000000000000001E-3</v>
      </c>
      <c r="D143">
        <v>0.46179999999999999</v>
      </c>
      <c r="E143">
        <f t="shared" si="9"/>
        <v>4.0958427196395765E-4</v>
      </c>
      <c r="F143">
        <f t="shared" si="10"/>
        <v>0</v>
      </c>
      <c r="G143">
        <f t="shared" si="11"/>
        <v>2.4096385542168078E-3</v>
      </c>
    </row>
    <row r="144" spans="1:10" x14ac:dyDescent="0.25">
      <c r="A144">
        <v>90.623900000000006</v>
      </c>
      <c r="B144">
        <v>2.4199999999999999E-2</v>
      </c>
      <c r="C144">
        <v>3.0999999999999999E-3</v>
      </c>
      <c r="D144">
        <v>0.4627</v>
      </c>
      <c r="E144">
        <f t="shared" si="9"/>
        <v>4.0975209997950996E-4</v>
      </c>
      <c r="F144">
        <f t="shared" si="10"/>
        <v>1.0030090270812421E-4</v>
      </c>
      <c r="G144">
        <f t="shared" si="11"/>
        <v>1.6722408026756074E-3</v>
      </c>
    </row>
    <row r="145" spans="1:11" x14ac:dyDescent="0.25">
      <c r="A145">
        <v>91.077399999999997</v>
      </c>
      <c r="B145">
        <v>2.47E-2</v>
      </c>
      <c r="C145">
        <v>3.2000000000000002E-3</v>
      </c>
      <c r="D145">
        <v>0.4637</v>
      </c>
      <c r="E145">
        <f t="shared" si="9"/>
        <v>5.1240008198401353E-4</v>
      </c>
      <c r="F145">
        <f t="shared" si="10"/>
        <v>1.003109639883642E-4</v>
      </c>
      <c r="G145">
        <f t="shared" si="11"/>
        <v>1.861157640052114E-3</v>
      </c>
      <c r="I145">
        <f>B145</f>
        <v>2.47E-2</v>
      </c>
      <c r="J145">
        <f t="shared" ref="J145:K145" si="12">C145</f>
        <v>3.2000000000000002E-3</v>
      </c>
      <c r="K145">
        <f t="shared" si="12"/>
        <v>0.4637</v>
      </c>
    </row>
    <row r="146" spans="1:11" x14ac:dyDescent="0.25">
      <c r="A146">
        <v>91.530900000000003</v>
      </c>
      <c r="B146">
        <v>2.5100000000000001E-2</v>
      </c>
      <c r="C146">
        <v>3.3E-3</v>
      </c>
      <c r="D146">
        <v>0.4647</v>
      </c>
      <c r="E146">
        <f t="shared" si="9"/>
        <v>4.1013021634369017E-4</v>
      </c>
      <c r="F146">
        <f t="shared" si="10"/>
        <v>1.0032102728731925E-4</v>
      </c>
      <c r="G146">
        <f t="shared" si="11"/>
        <v>1.8646280067126624E-3</v>
      </c>
    </row>
    <row r="147" spans="1:11" x14ac:dyDescent="0.25">
      <c r="A147">
        <v>91.984399999999994</v>
      </c>
      <c r="B147">
        <v>2.5499999999999998E-2</v>
      </c>
      <c r="C147">
        <v>3.3999999999999998E-3</v>
      </c>
      <c r="D147">
        <v>0.46560000000000001</v>
      </c>
      <c r="E147">
        <f t="shared" si="9"/>
        <v>4.1029849215303888E-4</v>
      </c>
      <c r="F147">
        <f t="shared" si="10"/>
        <v>1.0033109260559831E-4</v>
      </c>
      <c r="G147">
        <f t="shared" si="11"/>
        <v>1.6813002054922696E-3</v>
      </c>
    </row>
    <row r="148" spans="1:11" x14ac:dyDescent="0.25">
      <c r="A148">
        <v>92.437899999999999</v>
      </c>
      <c r="B148">
        <v>2.5999999999999999E-2</v>
      </c>
      <c r="C148">
        <v>3.5000000000000001E-3</v>
      </c>
      <c r="D148">
        <v>0.46660000000000001</v>
      </c>
      <c r="E148">
        <f t="shared" si="9"/>
        <v>5.1308363263211944E-4</v>
      </c>
      <c r="F148">
        <f t="shared" si="10"/>
        <v>1.0034115994380921E-4</v>
      </c>
      <c r="G148">
        <f t="shared" si="11"/>
        <v>1.8712574850299419E-3</v>
      </c>
    </row>
    <row r="149" spans="1:11" x14ac:dyDescent="0.25">
      <c r="A149">
        <v>92.891400000000004</v>
      </c>
      <c r="B149">
        <v>2.64E-2</v>
      </c>
      <c r="C149">
        <v>3.5000000000000001E-3</v>
      </c>
      <c r="D149">
        <v>0.46760000000000002</v>
      </c>
      <c r="E149">
        <f t="shared" si="9"/>
        <v>4.1067761806981627E-4</v>
      </c>
      <c r="F149">
        <f t="shared" si="10"/>
        <v>0</v>
      </c>
      <c r="G149">
        <f t="shared" si="11"/>
        <v>1.8747656542932151E-3</v>
      </c>
    </row>
    <row r="150" spans="1:11" x14ac:dyDescent="0.25">
      <c r="A150">
        <v>93.344899999999996</v>
      </c>
      <c r="B150">
        <v>2.69E-2</v>
      </c>
      <c r="C150">
        <v>3.5999999999999999E-3</v>
      </c>
      <c r="D150">
        <v>0.46850000000000003</v>
      </c>
      <c r="E150">
        <f t="shared" si="9"/>
        <v>5.1355792933442939E-4</v>
      </c>
      <c r="F150">
        <f t="shared" si="10"/>
        <v>1.0035122930255878E-4</v>
      </c>
      <c r="G150">
        <f t="shared" si="11"/>
        <v>1.6904583020285724E-3</v>
      </c>
    </row>
    <row r="151" spans="1:11" x14ac:dyDescent="0.25">
      <c r="A151">
        <v>94.209299999999999</v>
      </c>
      <c r="B151">
        <v>2.7799999999999998E-2</v>
      </c>
      <c r="C151">
        <v>3.8E-3</v>
      </c>
      <c r="D151">
        <v>0.47039999999999998</v>
      </c>
      <c r="E151">
        <f t="shared" si="9"/>
        <v>9.2487925187544756E-4</v>
      </c>
      <c r="F151">
        <f t="shared" si="10"/>
        <v>2.0072260136491378E-4</v>
      </c>
      <c r="G151">
        <f t="shared" si="11"/>
        <v>3.5747883349011426E-3</v>
      </c>
    </row>
    <row r="152" spans="1:11" x14ac:dyDescent="0.25">
      <c r="A152">
        <v>95.073700000000002</v>
      </c>
      <c r="B152">
        <v>2.87E-2</v>
      </c>
      <c r="C152">
        <v>4.0000000000000001E-3</v>
      </c>
      <c r="D152">
        <v>0.47220000000000001</v>
      </c>
      <c r="E152">
        <f t="shared" si="9"/>
        <v>9.2573544538161029E-4</v>
      </c>
      <c r="F152">
        <f t="shared" si="10"/>
        <v>2.0076289901626188E-4</v>
      </c>
      <c r="G152">
        <f t="shared" si="11"/>
        <v>3.398791540785543E-3</v>
      </c>
    </row>
    <row r="153" spans="1:11" x14ac:dyDescent="0.25">
      <c r="A153">
        <v>95.938100000000006</v>
      </c>
      <c r="B153">
        <v>2.9600000000000001E-2</v>
      </c>
      <c r="C153">
        <v>4.1000000000000003E-3</v>
      </c>
      <c r="D153">
        <v>0.47399999999999998</v>
      </c>
      <c r="E153">
        <f t="shared" si="9"/>
        <v>9.2659322557397451E-4</v>
      </c>
      <c r="F153">
        <f t="shared" si="10"/>
        <v>1.0040160642570307E-4</v>
      </c>
      <c r="G153">
        <f t="shared" si="11"/>
        <v>3.4103827207274881E-3</v>
      </c>
    </row>
    <row r="154" spans="1:11" x14ac:dyDescent="0.25">
      <c r="A154">
        <v>96.802499999999995</v>
      </c>
      <c r="B154">
        <v>3.0499999999999999E-2</v>
      </c>
      <c r="C154">
        <v>4.3E-3</v>
      </c>
      <c r="D154">
        <v>0.4758</v>
      </c>
      <c r="E154">
        <f t="shared" si="9"/>
        <v>9.274525968672692E-4</v>
      </c>
      <c r="F154">
        <f t="shared" si="10"/>
        <v>2.0082337584094754E-4</v>
      </c>
      <c r="G154">
        <f t="shared" si="11"/>
        <v>3.4220532319392087E-3</v>
      </c>
    </row>
    <row r="155" spans="1:11" x14ac:dyDescent="0.25">
      <c r="A155">
        <v>97.584100000000007</v>
      </c>
      <c r="B155">
        <v>3.1399999999999997E-2</v>
      </c>
      <c r="C155">
        <v>4.4999999999999997E-3</v>
      </c>
      <c r="D155">
        <v>0.47739999999999999</v>
      </c>
      <c r="E155">
        <f t="shared" si="9"/>
        <v>9.2831356369262302E-4</v>
      </c>
      <c r="F155">
        <f t="shared" si="10"/>
        <v>2.0086371397007096E-4</v>
      </c>
      <c r="G155">
        <f t="shared" si="11"/>
        <v>3.0522701259061242E-3</v>
      </c>
    </row>
    <row r="156" spans="1:11" x14ac:dyDescent="0.25">
      <c r="A156">
        <v>98.365700000000004</v>
      </c>
      <c r="B156">
        <v>3.2199999999999999E-2</v>
      </c>
      <c r="C156">
        <v>4.7000000000000002E-3</v>
      </c>
      <c r="D156">
        <v>0.47889999999999999</v>
      </c>
      <c r="E156">
        <f t="shared" si="9"/>
        <v>8.2593433822011366E-4</v>
      </c>
      <c r="F156">
        <f t="shared" si="10"/>
        <v>2.0090406830738374E-4</v>
      </c>
      <c r="G156">
        <f t="shared" si="11"/>
        <v>2.8702640642939178E-3</v>
      </c>
    </row>
    <row r="157" spans="1:11" x14ac:dyDescent="0.25">
      <c r="A157">
        <v>99.147300000000001</v>
      </c>
      <c r="B157">
        <v>3.3099999999999997E-2</v>
      </c>
      <c r="C157">
        <v>4.8999999999999998E-3</v>
      </c>
      <c r="D157">
        <v>0.48049999999999998</v>
      </c>
      <c r="E157">
        <f t="shared" si="9"/>
        <v>9.2994420334779708E-4</v>
      </c>
      <c r="F157">
        <f t="shared" si="10"/>
        <v>2.0094443886265414E-4</v>
      </c>
      <c r="G157">
        <f t="shared" si="11"/>
        <v>3.0704279408942433E-3</v>
      </c>
    </row>
    <row r="158" spans="1:11" x14ac:dyDescent="0.25">
      <c r="A158">
        <v>99.928899999999999</v>
      </c>
      <c r="B158">
        <v>3.4000000000000002E-2</v>
      </c>
      <c r="C158">
        <v>5.0000000000000001E-3</v>
      </c>
      <c r="D158">
        <v>0.48209999999999997</v>
      </c>
      <c r="E158">
        <f t="shared" si="9"/>
        <v>9.3080980452994624E-4</v>
      </c>
      <c r="F158">
        <f t="shared" si="10"/>
        <v>1.0049241282283214E-4</v>
      </c>
      <c r="G158">
        <f t="shared" si="11"/>
        <v>3.0798845043310684E-3</v>
      </c>
    </row>
    <row r="159" spans="1:11" x14ac:dyDescent="0.25">
      <c r="A159">
        <v>100.58280000000001</v>
      </c>
      <c r="B159">
        <v>3.4799999999999998E-2</v>
      </c>
      <c r="C159">
        <v>5.1999999999999998E-3</v>
      </c>
      <c r="D159">
        <v>0.4834</v>
      </c>
      <c r="E159">
        <f t="shared" si="9"/>
        <v>8.2815734989647534E-4</v>
      </c>
      <c r="F159">
        <f t="shared" si="10"/>
        <v>2.0100502512562779E-4</v>
      </c>
      <c r="G159">
        <f t="shared" si="11"/>
        <v>2.5101370921027676E-3</v>
      </c>
    </row>
    <row r="160" spans="1:11" x14ac:dyDescent="0.25">
      <c r="A160">
        <v>101.2368</v>
      </c>
      <c r="B160">
        <v>3.5499999999999997E-2</v>
      </c>
      <c r="C160">
        <v>5.4000000000000003E-3</v>
      </c>
      <c r="D160">
        <v>0.48470000000000002</v>
      </c>
      <c r="E160">
        <f t="shared" si="9"/>
        <v>7.2523829258184743E-4</v>
      </c>
      <c r="F160">
        <f t="shared" si="10"/>
        <v>2.0104543626859721E-4</v>
      </c>
      <c r="G160">
        <f t="shared" si="11"/>
        <v>2.5164537359659766E-3</v>
      </c>
    </row>
    <row r="161" spans="1:7" x14ac:dyDescent="0.25">
      <c r="A161">
        <v>101.8907</v>
      </c>
      <c r="B161">
        <v>3.6299999999999999E-2</v>
      </c>
      <c r="C161">
        <v>5.4999999999999997E-3</v>
      </c>
      <c r="D161">
        <v>0.48599999999999999</v>
      </c>
      <c r="E161">
        <f t="shared" si="9"/>
        <v>8.2944530844997622E-4</v>
      </c>
      <c r="F161">
        <f t="shared" si="10"/>
        <v>1.0054293183189161E-4</v>
      </c>
      <c r="G161">
        <f t="shared" si="11"/>
        <v>2.5228022511157924E-3</v>
      </c>
    </row>
    <row r="162" spans="1:7" x14ac:dyDescent="0.25">
      <c r="A162">
        <v>102.54470000000001</v>
      </c>
      <c r="B162">
        <v>3.7100000000000001E-2</v>
      </c>
      <c r="C162">
        <v>5.7000000000000002E-3</v>
      </c>
      <c r="D162">
        <v>0.48730000000000001</v>
      </c>
      <c r="E162">
        <f t="shared" si="9"/>
        <v>8.3013385908477959E-4</v>
      </c>
      <c r="F162">
        <f t="shared" si="10"/>
        <v>2.0110608345902514E-4</v>
      </c>
      <c r="G162">
        <f t="shared" si="11"/>
        <v>2.5291828793774771E-3</v>
      </c>
    </row>
    <row r="163" spans="1:7" x14ac:dyDescent="0.25">
      <c r="A163">
        <v>103.1718</v>
      </c>
      <c r="B163">
        <v>3.7900000000000003E-2</v>
      </c>
      <c r="C163">
        <v>5.7999999999999996E-3</v>
      </c>
      <c r="D163">
        <v>0.48849999999999999</v>
      </c>
      <c r="E163">
        <f t="shared" si="9"/>
        <v>8.3082355384775375E-4</v>
      </c>
      <c r="F163">
        <f t="shared" si="10"/>
        <v>1.0057326762546454E-4</v>
      </c>
      <c r="G163">
        <f t="shared" si="11"/>
        <v>2.3405500292568346E-3</v>
      </c>
    </row>
    <row r="164" spans="1:7" x14ac:dyDescent="0.25">
      <c r="A164">
        <v>103.79900000000001</v>
      </c>
      <c r="B164">
        <v>3.8600000000000002E-2</v>
      </c>
      <c r="C164">
        <v>6.0000000000000001E-3</v>
      </c>
      <c r="D164">
        <v>0.48970000000000002</v>
      </c>
      <c r="E164">
        <f t="shared" si="9"/>
        <v>7.2757509614385118E-4</v>
      </c>
      <c r="F164">
        <f t="shared" si="10"/>
        <v>2.0116676725005084E-4</v>
      </c>
      <c r="G164">
        <f t="shared" si="11"/>
        <v>2.3460410557185419E-3</v>
      </c>
    </row>
    <row r="165" spans="1:7" x14ac:dyDescent="0.25">
      <c r="A165">
        <v>104.42619999999999</v>
      </c>
      <c r="B165">
        <v>3.9399999999999998E-2</v>
      </c>
      <c r="C165">
        <v>6.1999999999999998E-3</v>
      </c>
      <c r="D165">
        <v>0.4909</v>
      </c>
      <c r="E165">
        <f t="shared" si="9"/>
        <v>8.3211982525483168E-4</v>
      </c>
      <c r="F165">
        <f t="shared" si="10"/>
        <v>2.0120724346076423E-4</v>
      </c>
      <c r="G165">
        <f t="shared" si="11"/>
        <v>2.3515579071134215E-3</v>
      </c>
    </row>
    <row r="166" spans="1:7" x14ac:dyDescent="0.25">
      <c r="A166">
        <v>105.0534</v>
      </c>
      <c r="B166">
        <v>4.02E-2</v>
      </c>
      <c r="C166">
        <v>6.3E-3</v>
      </c>
      <c r="D166">
        <v>0.49209999999999998</v>
      </c>
      <c r="E166">
        <f t="shared" si="9"/>
        <v>8.3281282531751208E-4</v>
      </c>
      <c r="F166">
        <f t="shared" si="10"/>
        <v>1.0062386798148548E-4</v>
      </c>
      <c r="G166">
        <f t="shared" si="11"/>
        <v>2.3571007660577073E-3</v>
      </c>
    </row>
    <row r="167" spans="1:7" x14ac:dyDescent="0.25">
      <c r="A167">
        <v>105.74760000000001</v>
      </c>
      <c r="B167">
        <v>4.1000000000000002E-2</v>
      </c>
      <c r="C167">
        <v>6.4999999999999997E-3</v>
      </c>
      <c r="D167">
        <v>0.49349999999999999</v>
      </c>
      <c r="E167">
        <f t="shared" si="9"/>
        <v>8.3350698062096488E-4</v>
      </c>
      <c r="F167">
        <f t="shared" si="10"/>
        <v>2.0126798832645633E-4</v>
      </c>
      <c r="G167">
        <f t="shared" si="11"/>
        <v>2.7564481197086283E-3</v>
      </c>
    </row>
    <row r="168" spans="1:7" x14ac:dyDescent="0.25">
      <c r="A168">
        <v>106.4418</v>
      </c>
      <c r="B168">
        <v>4.19E-2</v>
      </c>
      <c r="C168">
        <v>6.7000000000000002E-3</v>
      </c>
      <c r="D168">
        <v>0.49480000000000002</v>
      </c>
      <c r="E168">
        <f t="shared" si="9"/>
        <v>9.3847758081334518E-4</v>
      </c>
      <c r="F168">
        <f t="shared" si="10"/>
        <v>2.0130850528434879E-4</v>
      </c>
      <c r="G168">
        <f t="shared" si="11"/>
        <v>2.5666337611056733E-3</v>
      </c>
    </row>
    <row r="169" spans="1:7" x14ac:dyDescent="0.25">
      <c r="A169">
        <v>107.136</v>
      </c>
      <c r="B169">
        <v>4.2799999999999998E-2</v>
      </c>
      <c r="C169">
        <v>6.8999999999999999E-3</v>
      </c>
      <c r="D169">
        <v>0.49609999999999999</v>
      </c>
      <c r="E169">
        <f t="shared" si="9"/>
        <v>9.3935914831437019E-4</v>
      </c>
      <c r="F169">
        <f t="shared" si="10"/>
        <v>2.0134903855834055E-4</v>
      </c>
      <c r="G169">
        <f t="shared" si="11"/>
        <v>2.5732383214567851E-3</v>
      </c>
    </row>
    <row r="170" spans="1:7" x14ac:dyDescent="0.25">
      <c r="A170">
        <v>107.83029999999999</v>
      </c>
      <c r="B170">
        <v>4.3700000000000003E-2</v>
      </c>
      <c r="C170">
        <v>7.1000000000000004E-3</v>
      </c>
      <c r="D170">
        <v>0.49740000000000001</v>
      </c>
      <c r="E170">
        <f t="shared" si="9"/>
        <v>9.4024237358964152E-4</v>
      </c>
      <c r="F170">
        <f t="shared" si="10"/>
        <v>2.0138958815829275E-4</v>
      </c>
      <c r="G170">
        <f t="shared" si="11"/>
        <v>2.5798769597142751E-3</v>
      </c>
    </row>
    <row r="171" spans="1:7" x14ac:dyDescent="0.25">
      <c r="A171">
        <v>108.5677</v>
      </c>
      <c r="B171">
        <v>4.4600000000000001E-2</v>
      </c>
      <c r="C171">
        <v>7.3000000000000001E-3</v>
      </c>
      <c r="D171">
        <v>0.49880000000000002</v>
      </c>
      <c r="E171">
        <f t="shared" si="9"/>
        <v>9.4112726131966745E-4</v>
      </c>
      <c r="F171">
        <f t="shared" si="10"/>
        <v>2.0143015409406753E-4</v>
      </c>
      <c r="G171">
        <f t="shared" si="11"/>
        <v>2.7855153203342866E-3</v>
      </c>
    </row>
    <row r="172" spans="1:7" x14ac:dyDescent="0.25">
      <c r="A172">
        <v>109.3051</v>
      </c>
      <c r="B172">
        <v>4.5600000000000002E-2</v>
      </c>
      <c r="C172">
        <v>7.6E-3</v>
      </c>
      <c r="D172">
        <v>0.50009999999999999</v>
      </c>
      <c r="E172">
        <f t="shared" si="9"/>
        <v>1.0466820180029316E-3</v>
      </c>
      <c r="F172">
        <f t="shared" si="10"/>
        <v>3.0220610456331207E-4</v>
      </c>
      <c r="G172">
        <f t="shared" si="11"/>
        <v>2.5937749401435911E-3</v>
      </c>
    </row>
    <row r="173" spans="1:7" x14ac:dyDescent="0.25">
      <c r="A173">
        <v>110.0425</v>
      </c>
      <c r="B173">
        <v>4.65E-2</v>
      </c>
      <c r="C173">
        <v>7.7999999999999996E-3</v>
      </c>
      <c r="D173">
        <v>0.50149999999999995</v>
      </c>
      <c r="E173">
        <f t="shared" si="9"/>
        <v>9.4300083822296526E-4</v>
      </c>
      <c r="F173">
        <f t="shared" si="10"/>
        <v>2.0153164046755306E-4</v>
      </c>
      <c r="G173">
        <f t="shared" si="11"/>
        <v>2.8005601120223182E-3</v>
      </c>
    </row>
    <row r="174" spans="1:7" x14ac:dyDescent="0.25">
      <c r="A174">
        <v>110.7799</v>
      </c>
      <c r="B174">
        <v>4.7500000000000001E-2</v>
      </c>
      <c r="C174">
        <v>8.0000000000000002E-3</v>
      </c>
      <c r="D174">
        <v>0.50280000000000002</v>
      </c>
      <c r="E174">
        <f t="shared" si="9"/>
        <v>1.0487676979549039E-3</v>
      </c>
      <c r="F174">
        <f t="shared" si="10"/>
        <v>2.0157226365652141E-4</v>
      </c>
      <c r="G174">
        <f t="shared" si="11"/>
        <v>2.6078234704113917E-3</v>
      </c>
    </row>
    <row r="175" spans="1:7" x14ac:dyDescent="0.25">
      <c r="A175">
        <v>111.5009</v>
      </c>
      <c r="B175">
        <v>4.8399999999999999E-2</v>
      </c>
      <c r="C175">
        <v>8.2000000000000007E-3</v>
      </c>
      <c r="D175">
        <v>0.50409999999999999</v>
      </c>
      <c r="E175">
        <f t="shared" si="9"/>
        <v>9.4488188976377748E-4</v>
      </c>
      <c r="F175">
        <f t="shared" si="10"/>
        <v>2.0161290322580699E-4</v>
      </c>
      <c r="G175">
        <f t="shared" si="11"/>
        <v>2.6146419951729042E-3</v>
      </c>
    </row>
    <row r="176" spans="1:7" x14ac:dyDescent="0.25">
      <c r="A176">
        <v>112.2218</v>
      </c>
      <c r="B176">
        <v>4.9399999999999999E-2</v>
      </c>
      <c r="C176">
        <v>8.5000000000000006E-3</v>
      </c>
      <c r="D176">
        <v>0.50539999999999996</v>
      </c>
      <c r="E176">
        <f t="shared" si="9"/>
        <v>1.0508617065994124E-3</v>
      </c>
      <c r="F176">
        <f t="shared" si="10"/>
        <v>3.0248033877797935E-4</v>
      </c>
      <c r="G176">
        <f t="shared" si="11"/>
        <v>2.6214962694090902E-3</v>
      </c>
    </row>
    <row r="177" spans="1:11" x14ac:dyDescent="0.25">
      <c r="A177">
        <v>112.94280000000001</v>
      </c>
      <c r="B177">
        <v>5.0299999999999997E-2</v>
      </c>
      <c r="C177">
        <v>8.6999999999999994E-3</v>
      </c>
      <c r="D177">
        <v>0.50670000000000004</v>
      </c>
      <c r="E177">
        <f t="shared" si="9"/>
        <v>9.4677046076162221E-4</v>
      </c>
      <c r="F177">
        <f t="shared" si="10"/>
        <v>2.0171457387796146E-4</v>
      </c>
      <c r="G177">
        <f t="shared" si="11"/>
        <v>2.6283865750102685E-3</v>
      </c>
    </row>
    <row r="178" spans="1:11" x14ac:dyDescent="0.25">
      <c r="A178">
        <v>113.66379999999999</v>
      </c>
      <c r="B178">
        <v>5.1299999999999998E-2</v>
      </c>
      <c r="C178">
        <v>8.8999999999999999E-3</v>
      </c>
      <c r="D178">
        <v>0.50800000000000001</v>
      </c>
      <c r="E178">
        <f t="shared" si="9"/>
        <v>1.0529640939243982E-3</v>
      </c>
      <c r="F178">
        <f t="shared" si="10"/>
        <v>2.0175527085645166E-4</v>
      </c>
      <c r="G178">
        <f t="shared" si="11"/>
        <v>2.6353131968375591E-3</v>
      </c>
    </row>
    <row r="179" spans="1:11" x14ac:dyDescent="0.25">
      <c r="A179">
        <v>114.35939999999999</v>
      </c>
      <c r="B179">
        <v>5.2200000000000003E-2</v>
      </c>
      <c r="C179">
        <v>9.1999999999999998E-3</v>
      </c>
      <c r="D179">
        <v>0.50919999999999999</v>
      </c>
      <c r="E179">
        <f t="shared" si="9"/>
        <v>9.4866659639507214E-4</v>
      </c>
      <c r="F179">
        <f t="shared" si="10"/>
        <v>3.0269397638986976E-4</v>
      </c>
      <c r="G179">
        <f t="shared" si="11"/>
        <v>2.4390243902438595E-3</v>
      </c>
    </row>
    <row r="180" spans="1:11" x14ac:dyDescent="0.25">
      <c r="A180">
        <v>115.05500000000001</v>
      </c>
      <c r="B180">
        <v>5.3100000000000001E-2</v>
      </c>
      <c r="C180">
        <v>9.4000000000000004E-3</v>
      </c>
      <c r="D180">
        <v>0.51039999999999996</v>
      </c>
      <c r="E180">
        <f t="shared" si="9"/>
        <v>9.4956741928676732E-4</v>
      </c>
      <c r="F180">
        <f t="shared" si="10"/>
        <v>2.0185708518369048E-4</v>
      </c>
      <c r="G180">
        <f t="shared" si="11"/>
        <v>2.4449877750610817E-3</v>
      </c>
    </row>
    <row r="181" spans="1:11" x14ac:dyDescent="0.25">
      <c r="A181">
        <v>115.75060000000001</v>
      </c>
      <c r="B181">
        <v>5.4100000000000002E-2</v>
      </c>
      <c r="C181">
        <v>9.5999999999999992E-3</v>
      </c>
      <c r="D181">
        <v>0.51160000000000005</v>
      </c>
      <c r="E181">
        <f t="shared" si="9"/>
        <v>1.0560777273207317E-3</v>
      </c>
      <c r="F181">
        <f t="shared" si="10"/>
        <v>2.0189783969311407E-4</v>
      </c>
      <c r="G181">
        <f t="shared" si="11"/>
        <v>2.4509803921570462E-3</v>
      </c>
    </row>
    <row r="182" spans="1:11" x14ac:dyDescent="0.25">
      <c r="A182">
        <v>116.4462</v>
      </c>
      <c r="B182">
        <v>5.5E-2</v>
      </c>
      <c r="C182">
        <v>9.7999999999999997E-3</v>
      </c>
      <c r="D182">
        <v>0.51280000000000003</v>
      </c>
      <c r="E182">
        <f t="shared" si="9"/>
        <v>9.5147478591817115E-4</v>
      </c>
      <c r="F182">
        <f t="shared" si="10"/>
        <v>2.0193861066235917E-4</v>
      </c>
      <c r="G182">
        <f t="shared" si="11"/>
        <v>2.457002457002414E-3</v>
      </c>
    </row>
    <row r="183" spans="1:11" x14ac:dyDescent="0.25">
      <c r="A183">
        <v>117.1459</v>
      </c>
      <c r="B183">
        <v>5.5899999999999998E-2</v>
      </c>
      <c r="C183">
        <v>1.01E-2</v>
      </c>
      <c r="D183">
        <v>0.51400000000000001</v>
      </c>
      <c r="E183">
        <f t="shared" si="9"/>
        <v>9.5238095238095032E-4</v>
      </c>
      <c r="F183">
        <f t="shared" si="10"/>
        <v>3.029690971520904E-4</v>
      </c>
      <c r="G183">
        <f t="shared" si="11"/>
        <v>2.4630541871920749E-3</v>
      </c>
    </row>
    <row r="184" spans="1:11" x14ac:dyDescent="0.25">
      <c r="A184">
        <v>117.84569999999999</v>
      </c>
      <c r="B184">
        <v>5.6800000000000003E-2</v>
      </c>
      <c r="C184">
        <v>1.03E-2</v>
      </c>
      <c r="D184">
        <v>0.51519999999999999</v>
      </c>
      <c r="E184">
        <f t="shared" si="9"/>
        <v>9.5328884652050088E-4</v>
      </c>
      <c r="F184">
        <f t="shared" si="10"/>
        <v>2.0204061016264321E-4</v>
      </c>
      <c r="G184">
        <f t="shared" si="11"/>
        <v>2.4691358024690924E-3</v>
      </c>
    </row>
    <row r="185" spans="1:11" x14ac:dyDescent="0.25">
      <c r="A185">
        <v>118.5455</v>
      </c>
      <c r="B185">
        <v>5.7799999999999997E-2</v>
      </c>
      <c r="C185">
        <v>1.06E-2</v>
      </c>
      <c r="D185">
        <v>0.51639999999999997</v>
      </c>
      <c r="E185">
        <f t="shared" si="9"/>
        <v>1.0602205258693745E-3</v>
      </c>
      <c r="F185">
        <f t="shared" si="10"/>
        <v>3.0312215822976649E-4</v>
      </c>
      <c r="G185">
        <f t="shared" si="11"/>
        <v>2.4752475247524315E-3</v>
      </c>
    </row>
    <row r="186" spans="1:11" x14ac:dyDescent="0.25">
      <c r="A186">
        <v>119.2452</v>
      </c>
      <c r="B186">
        <v>5.8700000000000002E-2</v>
      </c>
      <c r="C186">
        <v>1.0800000000000001E-2</v>
      </c>
      <c r="D186">
        <v>0.51759999999999995</v>
      </c>
      <c r="E186">
        <f t="shared" si="9"/>
        <v>9.5521120781151027E-4</v>
      </c>
      <c r="F186">
        <f t="shared" si="10"/>
        <v>2.021427127552057E-4</v>
      </c>
      <c r="G186">
        <f t="shared" si="11"/>
        <v>2.4813895781637279E-3</v>
      </c>
      <c r="J186">
        <f>4*365/12</f>
        <v>121.66666666666667</v>
      </c>
    </row>
    <row r="187" spans="1:11" x14ac:dyDescent="0.25">
      <c r="A187">
        <v>119.7556</v>
      </c>
      <c r="B187">
        <v>5.9400000000000001E-2</v>
      </c>
      <c r="C187">
        <v>1.0999999999999999E-2</v>
      </c>
      <c r="D187">
        <v>0.51839999999999997</v>
      </c>
      <c r="E187">
        <f t="shared" si="9"/>
        <v>7.4365239562307361E-4</v>
      </c>
      <c r="F187">
        <f t="shared" si="10"/>
        <v>2.0218358269308412E-4</v>
      </c>
      <c r="G187">
        <f t="shared" si="11"/>
        <v>1.6583747927031982E-3</v>
      </c>
    </row>
    <row r="188" spans="1:11" x14ac:dyDescent="0.25">
      <c r="A188">
        <v>120.2659</v>
      </c>
      <c r="B188">
        <v>6.0100000000000001E-2</v>
      </c>
      <c r="C188">
        <v>1.12E-2</v>
      </c>
      <c r="D188">
        <v>0.51929999999999998</v>
      </c>
      <c r="E188">
        <f t="shared" si="9"/>
        <v>7.4420582606846608E-4</v>
      </c>
      <c r="F188">
        <f t="shared" si="10"/>
        <v>2.02224469160769E-4</v>
      </c>
      <c r="G188">
        <f t="shared" si="11"/>
        <v>1.8687707641196259E-3</v>
      </c>
    </row>
    <row r="189" spans="1:11" x14ac:dyDescent="0.25">
      <c r="A189">
        <v>120.7762</v>
      </c>
      <c r="B189">
        <v>6.0699999999999997E-2</v>
      </c>
      <c r="C189">
        <v>1.1299999999999999E-2</v>
      </c>
      <c r="D189">
        <v>0.52010000000000001</v>
      </c>
      <c r="E189">
        <f t="shared" si="9"/>
        <v>6.3836578359399558E-4</v>
      </c>
      <c r="F189">
        <f t="shared" si="10"/>
        <v>1.0113268608414178E-4</v>
      </c>
      <c r="G189">
        <f t="shared" si="11"/>
        <v>1.664239650509721E-3</v>
      </c>
    </row>
    <row r="190" spans="1:11" x14ac:dyDescent="0.25">
      <c r="A190">
        <v>121.2865</v>
      </c>
      <c r="B190">
        <v>6.1400000000000003E-2</v>
      </c>
      <c r="C190">
        <v>1.15E-2</v>
      </c>
      <c r="D190">
        <v>0.52100000000000002</v>
      </c>
      <c r="E190">
        <f t="shared" si="9"/>
        <v>7.4523581390397754E-4</v>
      </c>
      <c r="F190">
        <f t="shared" si="10"/>
        <v>2.022858298776176E-4</v>
      </c>
      <c r="G190">
        <f t="shared" si="11"/>
        <v>1.875390706397191E-3</v>
      </c>
      <c r="I190">
        <f>B190</f>
        <v>6.1400000000000003E-2</v>
      </c>
      <c r="J190">
        <f t="shared" ref="J190:K190" si="13">C190</f>
        <v>1.15E-2</v>
      </c>
      <c r="K190">
        <f t="shared" si="13"/>
        <v>0.52100000000000002</v>
      </c>
    </row>
    <row r="191" spans="1:11" x14ac:dyDescent="0.25">
      <c r="A191">
        <v>121.79689999999999</v>
      </c>
      <c r="B191">
        <v>6.2100000000000002E-2</v>
      </c>
      <c r="C191">
        <v>1.17E-2</v>
      </c>
      <c r="D191">
        <v>0.52180000000000004</v>
      </c>
      <c r="E191">
        <f t="shared" si="9"/>
        <v>7.4579160451736552E-4</v>
      </c>
      <c r="F191">
        <f t="shared" si="10"/>
        <v>2.0232675771370817E-4</v>
      </c>
      <c r="G191">
        <f t="shared" si="11"/>
        <v>1.6701461377871042E-3</v>
      </c>
    </row>
    <row r="192" spans="1:11" x14ac:dyDescent="0.25">
      <c r="A192">
        <v>122.30719999999999</v>
      </c>
      <c r="B192">
        <v>6.2700000000000006E-2</v>
      </c>
      <c r="C192">
        <v>1.1900000000000001E-2</v>
      </c>
      <c r="D192">
        <v>0.52270000000000005</v>
      </c>
      <c r="E192">
        <f t="shared" si="9"/>
        <v>6.3972704979209231E-4</v>
      </c>
      <c r="F192">
        <f t="shared" si="10"/>
        <v>2.0236770211474304E-4</v>
      </c>
      <c r="G192">
        <f t="shared" si="11"/>
        <v>1.8820577164366625E-3</v>
      </c>
    </row>
    <row r="193" spans="1:7" x14ac:dyDescent="0.25">
      <c r="A193">
        <v>122.8175</v>
      </c>
      <c r="B193">
        <v>6.3399999999999998E-2</v>
      </c>
      <c r="C193">
        <v>1.21E-2</v>
      </c>
      <c r="D193">
        <v>0.52349999999999997</v>
      </c>
      <c r="E193">
        <f t="shared" si="9"/>
        <v>7.4682598954442796E-4</v>
      </c>
      <c r="F193">
        <f t="shared" si="10"/>
        <v>2.0240866309077907E-4</v>
      </c>
      <c r="G193">
        <f t="shared" si="11"/>
        <v>1.6760946993503289E-3</v>
      </c>
    </row>
    <row r="194" spans="1:7" x14ac:dyDescent="0.25">
      <c r="A194">
        <v>123.3279</v>
      </c>
      <c r="B194">
        <v>6.4100000000000004E-2</v>
      </c>
      <c r="C194">
        <v>1.23E-2</v>
      </c>
      <c r="D194">
        <v>0.52429999999999999</v>
      </c>
      <c r="E194">
        <f t="shared" si="9"/>
        <v>7.4738415545591097E-4</v>
      </c>
      <c r="F194">
        <f t="shared" si="10"/>
        <v>2.0244964065188836E-4</v>
      </c>
      <c r="G194">
        <f t="shared" si="11"/>
        <v>1.6789087093389778E-3</v>
      </c>
    </row>
    <row r="195" spans="1:7" x14ac:dyDescent="0.25">
      <c r="A195">
        <v>124.1211</v>
      </c>
      <c r="B195">
        <v>6.5100000000000005E-2</v>
      </c>
      <c r="C195">
        <v>1.2500000000000001E-2</v>
      </c>
      <c r="D195">
        <v>0.52559999999999996</v>
      </c>
      <c r="E195">
        <f t="shared" si="9"/>
        <v>1.0684902233144577E-3</v>
      </c>
      <c r="F195">
        <f t="shared" si="10"/>
        <v>2.0249063480814065E-4</v>
      </c>
      <c r="G195">
        <f t="shared" si="11"/>
        <v>2.7328147992431531E-3</v>
      </c>
    </row>
    <row r="196" spans="1:7" x14ac:dyDescent="0.25">
      <c r="A196">
        <v>124.9143</v>
      </c>
      <c r="B196">
        <v>6.6100000000000006E-2</v>
      </c>
      <c r="C196">
        <v>1.2800000000000001E-2</v>
      </c>
      <c r="D196">
        <v>0.52690000000000003</v>
      </c>
      <c r="E196">
        <f t="shared" si="9"/>
        <v>1.0696331158412675E-3</v>
      </c>
      <c r="F196">
        <f t="shared" si="10"/>
        <v>3.0379746835443029E-4</v>
      </c>
      <c r="G196">
        <f t="shared" si="11"/>
        <v>2.7403035413155119E-3</v>
      </c>
    </row>
    <row r="197" spans="1:7" x14ac:dyDescent="0.25">
      <c r="A197">
        <v>125.7075</v>
      </c>
      <c r="B197">
        <v>6.7100000000000007E-2</v>
      </c>
      <c r="C197">
        <v>1.3100000000000001E-2</v>
      </c>
      <c r="D197">
        <v>0.5282</v>
      </c>
      <c r="E197">
        <f t="shared" si="9"/>
        <v>1.0707784559374676E-3</v>
      </c>
      <c r="F197">
        <f t="shared" si="10"/>
        <v>3.0388978930307933E-4</v>
      </c>
      <c r="G197">
        <f t="shared" si="11"/>
        <v>2.7478334390191672E-3</v>
      </c>
    </row>
    <row r="198" spans="1:7" x14ac:dyDescent="0.25">
      <c r="A198">
        <v>126.50069999999999</v>
      </c>
      <c r="B198">
        <v>6.8099999999999994E-2</v>
      </c>
      <c r="C198">
        <v>1.34E-2</v>
      </c>
      <c r="D198">
        <v>0.52939999999999998</v>
      </c>
      <c r="E198">
        <f t="shared" si="9"/>
        <v>1.0719262514738846E-3</v>
      </c>
      <c r="F198">
        <f t="shared" si="10"/>
        <v>3.0398216637957234E-4</v>
      </c>
      <c r="G198">
        <f t="shared" si="11"/>
        <v>2.543450614667187E-3</v>
      </c>
    </row>
    <row r="199" spans="1:7" x14ac:dyDescent="0.25">
      <c r="A199">
        <v>127.4063</v>
      </c>
      <c r="B199">
        <v>6.93E-2</v>
      </c>
      <c r="C199">
        <v>1.37E-2</v>
      </c>
      <c r="D199">
        <v>0.53080000000000005</v>
      </c>
      <c r="E199">
        <f t="shared" si="9"/>
        <v>1.2876918124262332E-3</v>
      </c>
      <c r="F199">
        <f t="shared" si="10"/>
        <v>3.0407459963511038E-4</v>
      </c>
      <c r="G199">
        <f t="shared" si="11"/>
        <v>2.9749256268594725E-3</v>
      </c>
    </row>
    <row r="200" spans="1:7" x14ac:dyDescent="0.25">
      <c r="A200">
        <v>128.31190000000001</v>
      </c>
      <c r="B200">
        <v>7.0400000000000004E-2</v>
      </c>
      <c r="C200">
        <v>1.41E-2</v>
      </c>
      <c r="D200">
        <v>0.53220000000000001</v>
      </c>
      <c r="E200">
        <f t="shared" ref="E200:E263" si="14">(B200-B199)/(1-B199)</f>
        <v>1.1819060921886794E-3</v>
      </c>
      <c r="F200">
        <f t="shared" ref="F200:F263" si="15">(C200-C199)/(1-C199)</f>
        <v>4.0555611882794212E-4</v>
      </c>
      <c r="G200">
        <f t="shared" ref="G200:G263" si="16">(D200-D199)/(1-D199)</f>
        <v>2.9838022165386978E-3</v>
      </c>
    </row>
    <row r="201" spans="1:7" x14ac:dyDescent="0.25">
      <c r="A201">
        <v>129.2174</v>
      </c>
      <c r="B201">
        <v>7.1499999999999994E-2</v>
      </c>
      <c r="C201">
        <v>1.44E-2</v>
      </c>
      <c r="D201">
        <v>0.53359999999999996</v>
      </c>
      <c r="E201">
        <f t="shared" si="14"/>
        <v>1.183304647160058E-3</v>
      </c>
      <c r="F201">
        <f t="shared" si="15"/>
        <v>3.0429049599350839E-4</v>
      </c>
      <c r="G201">
        <f t="shared" si="16"/>
        <v>2.9927319367250038E-3</v>
      </c>
    </row>
    <row r="202" spans="1:7" x14ac:dyDescent="0.25">
      <c r="A202">
        <v>130.12299999999999</v>
      </c>
      <c r="B202">
        <v>7.2599999999999998E-2</v>
      </c>
      <c r="C202">
        <v>1.47E-2</v>
      </c>
      <c r="D202">
        <v>0.53500000000000003</v>
      </c>
      <c r="E202">
        <f t="shared" si="14"/>
        <v>1.1847065158858414E-3</v>
      </c>
      <c r="F202">
        <f t="shared" si="15"/>
        <v>3.0438311688311677E-4</v>
      </c>
      <c r="G202">
        <f t="shared" si="16"/>
        <v>3.0017152658663544E-3</v>
      </c>
    </row>
    <row r="203" spans="1:7" x14ac:dyDescent="0.25">
      <c r="A203">
        <v>130.98580000000001</v>
      </c>
      <c r="B203">
        <v>7.3599999999999999E-2</v>
      </c>
      <c r="C203">
        <v>1.5100000000000001E-2</v>
      </c>
      <c r="D203">
        <v>0.53620000000000001</v>
      </c>
      <c r="E203">
        <f t="shared" si="14"/>
        <v>1.0782833728703912E-3</v>
      </c>
      <c r="F203">
        <f t="shared" si="15"/>
        <v>4.0596772556581861E-4</v>
      </c>
      <c r="G203">
        <f t="shared" si="16"/>
        <v>2.5806451612902775E-3</v>
      </c>
    </row>
    <row r="204" spans="1:7" x14ac:dyDescent="0.25">
      <c r="A204">
        <v>131.8486</v>
      </c>
      <c r="B204">
        <v>7.4700000000000003E-2</v>
      </c>
      <c r="C204">
        <v>1.54E-2</v>
      </c>
      <c r="D204">
        <v>0.53749999999999998</v>
      </c>
      <c r="E204">
        <f t="shared" si="14"/>
        <v>1.1873920552677071E-3</v>
      </c>
      <c r="F204">
        <f t="shared" si="15"/>
        <v>3.045994517209868E-4</v>
      </c>
      <c r="G204">
        <f t="shared" si="16"/>
        <v>2.8029322984044155E-3</v>
      </c>
    </row>
    <row r="205" spans="1:7" x14ac:dyDescent="0.25">
      <c r="A205">
        <v>132.7115</v>
      </c>
      <c r="B205">
        <v>7.5700000000000003E-2</v>
      </c>
      <c r="C205">
        <v>1.5699999999999999E-2</v>
      </c>
      <c r="D205">
        <v>0.53879999999999995</v>
      </c>
      <c r="E205">
        <f t="shared" si="14"/>
        <v>1.0807305738679356E-3</v>
      </c>
      <c r="F205">
        <f t="shared" si="15"/>
        <v>3.0469226081657343E-4</v>
      </c>
      <c r="G205">
        <f t="shared" si="16"/>
        <v>2.810810810810741E-3</v>
      </c>
    </row>
    <row r="206" spans="1:7" x14ac:dyDescent="0.25">
      <c r="A206">
        <v>133.57429999999999</v>
      </c>
      <c r="B206">
        <v>7.6700000000000004E-2</v>
      </c>
      <c r="C206">
        <v>1.6E-2</v>
      </c>
      <c r="D206">
        <v>0.54</v>
      </c>
      <c r="E206">
        <f t="shared" si="14"/>
        <v>1.0818998160770322E-3</v>
      </c>
      <c r="F206">
        <f t="shared" si="15"/>
        <v>3.0478512648582921E-4</v>
      </c>
      <c r="G206">
        <f t="shared" si="16"/>
        <v>2.6019080659151991E-3</v>
      </c>
    </row>
    <row r="207" spans="1:7" x14ac:dyDescent="0.25">
      <c r="A207">
        <v>134.30070000000001</v>
      </c>
      <c r="B207">
        <v>7.7499999999999999E-2</v>
      </c>
      <c r="C207">
        <v>1.6299999999999999E-2</v>
      </c>
      <c r="D207">
        <v>0.54110000000000003</v>
      </c>
      <c r="E207">
        <f t="shared" si="14"/>
        <v>8.6645727282572854E-4</v>
      </c>
      <c r="F207">
        <f t="shared" si="15"/>
        <v>3.0487804878048596E-4</v>
      </c>
      <c r="G207">
        <f t="shared" si="16"/>
        <v>2.3913043478260652E-3</v>
      </c>
    </row>
    <row r="208" spans="1:7" x14ac:dyDescent="0.25">
      <c r="A208">
        <v>135.02709999999999</v>
      </c>
      <c r="B208">
        <v>7.8299999999999995E-2</v>
      </c>
      <c r="C208">
        <v>1.6500000000000001E-2</v>
      </c>
      <c r="D208">
        <v>0.54210000000000003</v>
      </c>
      <c r="E208">
        <f t="shared" si="14"/>
        <v>8.6720867208671566E-4</v>
      </c>
      <c r="F208">
        <f t="shared" si="15"/>
        <v>2.0331401850157797E-4</v>
      </c>
      <c r="G208">
        <f t="shared" si="16"/>
        <v>2.1791239921551556E-3</v>
      </c>
    </row>
    <row r="209" spans="1:7" x14ac:dyDescent="0.25">
      <c r="A209">
        <v>135.75360000000001</v>
      </c>
      <c r="B209">
        <v>7.9100000000000004E-2</v>
      </c>
      <c r="C209">
        <v>1.6799999999999999E-2</v>
      </c>
      <c r="D209">
        <v>0.54310000000000003</v>
      </c>
      <c r="E209">
        <f t="shared" si="14"/>
        <v>8.6796137571879038E-4</v>
      </c>
      <c r="F209">
        <f t="shared" si="15"/>
        <v>3.0503304524656649E-4</v>
      </c>
      <c r="G209">
        <f t="shared" si="16"/>
        <v>2.1838829438742104E-3</v>
      </c>
    </row>
    <row r="210" spans="1:7" x14ac:dyDescent="0.25">
      <c r="A210">
        <v>136.47999999999999</v>
      </c>
      <c r="B210">
        <v>7.9899999999999999E-2</v>
      </c>
      <c r="C210">
        <v>1.7100000000000001E-2</v>
      </c>
      <c r="D210">
        <v>0.54410000000000003</v>
      </c>
      <c r="E210">
        <f t="shared" si="14"/>
        <v>8.6871538712128907E-4</v>
      </c>
      <c r="F210">
        <f t="shared" si="15"/>
        <v>3.051261187957706E-4</v>
      </c>
      <c r="G210">
        <f t="shared" si="16"/>
        <v>2.1886627270737602E-3</v>
      </c>
    </row>
    <row r="211" spans="1:7" x14ac:dyDescent="0.25">
      <c r="A211">
        <v>137.15450000000001</v>
      </c>
      <c r="B211">
        <v>8.0600000000000005E-2</v>
      </c>
      <c r="C211">
        <v>1.7299999999999999E-2</v>
      </c>
      <c r="D211">
        <v>0.54510000000000003</v>
      </c>
      <c r="E211">
        <f t="shared" si="14"/>
        <v>7.6078687099229018E-4</v>
      </c>
      <c r="F211">
        <f t="shared" si="15"/>
        <v>2.0347949944043016E-4</v>
      </c>
      <c r="G211">
        <f t="shared" si="16"/>
        <v>2.1934634788330796E-3</v>
      </c>
    </row>
    <row r="212" spans="1:7" x14ac:dyDescent="0.25">
      <c r="A212">
        <v>137.82910000000001</v>
      </c>
      <c r="B212">
        <v>8.14E-2</v>
      </c>
      <c r="C212">
        <v>1.7500000000000002E-2</v>
      </c>
      <c r="D212">
        <v>0.54600000000000004</v>
      </c>
      <c r="E212">
        <f t="shared" si="14"/>
        <v>8.7013269523601819E-4</v>
      </c>
      <c r="F212">
        <f t="shared" si="15"/>
        <v>2.0352091177368704E-4</v>
      </c>
      <c r="G212">
        <f t="shared" si="16"/>
        <v>1.9784568036931459E-3</v>
      </c>
    </row>
    <row r="213" spans="1:7" x14ac:dyDescent="0.25">
      <c r="A213">
        <v>138.50370000000001</v>
      </c>
      <c r="B213">
        <v>8.2100000000000006E-2</v>
      </c>
      <c r="C213">
        <v>1.78E-2</v>
      </c>
      <c r="D213">
        <v>0.54690000000000005</v>
      </c>
      <c r="E213">
        <f t="shared" si="14"/>
        <v>7.6202917483127175E-4</v>
      </c>
      <c r="F213">
        <f t="shared" si="15"/>
        <v>3.0534351145037984E-4</v>
      </c>
      <c r="G213">
        <f t="shared" si="16"/>
        <v>1.9823788546255773E-3</v>
      </c>
    </row>
    <row r="214" spans="1:7" x14ac:dyDescent="0.25">
      <c r="A214">
        <v>139.1782</v>
      </c>
      <c r="B214">
        <v>8.2799999999999999E-2</v>
      </c>
      <c r="C214">
        <v>1.7999999999999999E-2</v>
      </c>
      <c r="D214">
        <v>0.54779999999999995</v>
      </c>
      <c r="E214">
        <f t="shared" si="14"/>
        <v>7.6261030613355735E-4</v>
      </c>
      <c r="F214">
        <f t="shared" si="15"/>
        <v>2.0362451639177235E-4</v>
      </c>
      <c r="G214">
        <f t="shared" si="16"/>
        <v>1.9863164864266187E-3</v>
      </c>
    </row>
    <row r="215" spans="1:7" x14ac:dyDescent="0.25">
      <c r="A215">
        <v>139.9545</v>
      </c>
      <c r="B215">
        <v>8.3599999999999994E-2</v>
      </c>
      <c r="C215">
        <v>1.83E-2</v>
      </c>
      <c r="D215">
        <v>0.54890000000000005</v>
      </c>
      <c r="E215">
        <f t="shared" si="14"/>
        <v>8.7221979938944085E-4</v>
      </c>
      <c r="F215">
        <f t="shared" si="15"/>
        <v>3.0549898167006281E-4</v>
      </c>
      <c r="G215">
        <f t="shared" si="16"/>
        <v>2.4325519681559064E-3</v>
      </c>
    </row>
    <row r="216" spans="1:7" x14ac:dyDescent="0.25">
      <c r="A216">
        <v>140.73079999999999</v>
      </c>
      <c r="B216">
        <v>8.43E-2</v>
      </c>
      <c r="C216">
        <v>1.8599999999999998E-2</v>
      </c>
      <c r="D216">
        <v>0.54990000000000006</v>
      </c>
      <c r="E216">
        <f t="shared" si="14"/>
        <v>7.6385857704060038E-4</v>
      </c>
      <c r="F216">
        <f t="shared" si="15"/>
        <v>3.0559233981868002E-4</v>
      </c>
      <c r="G216">
        <f t="shared" si="16"/>
        <v>2.2168033695411241E-3</v>
      </c>
    </row>
    <row r="217" spans="1:7" x14ac:dyDescent="0.25">
      <c r="A217">
        <v>141.50710000000001</v>
      </c>
      <c r="B217">
        <v>8.5099999999999995E-2</v>
      </c>
      <c r="C217">
        <v>1.8800000000000001E-2</v>
      </c>
      <c r="D217">
        <v>0.55089999999999995</v>
      </c>
      <c r="E217">
        <f t="shared" si="14"/>
        <v>8.7364857486075696E-4</v>
      </c>
      <c r="F217">
        <f t="shared" si="15"/>
        <v>2.037905033625456E-4</v>
      </c>
      <c r="G217">
        <f t="shared" si="16"/>
        <v>2.221728504776472E-3</v>
      </c>
    </row>
    <row r="218" spans="1:7" x14ac:dyDescent="0.25">
      <c r="A218">
        <v>142.2834</v>
      </c>
      <c r="B218">
        <v>8.5900000000000004E-2</v>
      </c>
      <c r="C218">
        <v>1.9099999999999999E-2</v>
      </c>
      <c r="D218">
        <v>0.55189999999999995</v>
      </c>
      <c r="E218">
        <f t="shared" si="14"/>
        <v>8.7441250409881844E-4</v>
      </c>
      <c r="F218">
        <f t="shared" si="15"/>
        <v>3.0574806359559537E-4</v>
      </c>
      <c r="G218">
        <f t="shared" si="16"/>
        <v>2.2266755733689617E-3</v>
      </c>
    </row>
    <row r="219" spans="1:7" x14ac:dyDescent="0.25">
      <c r="A219">
        <v>143.316</v>
      </c>
      <c r="B219">
        <v>8.6800000000000002E-2</v>
      </c>
      <c r="C219">
        <v>1.9400000000000001E-2</v>
      </c>
      <c r="D219">
        <v>0.55330000000000001</v>
      </c>
      <c r="E219">
        <f t="shared" si="14"/>
        <v>9.8457499179520629E-4</v>
      </c>
      <c r="F219">
        <f t="shared" si="15"/>
        <v>3.0584157406463621E-4</v>
      </c>
      <c r="G219">
        <f t="shared" si="16"/>
        <v>3.1243026110244761E-3</v>
      </c>
    </row>
    <row r="220" spans="1:7" x14ac:dyDescent="0.25">
      <c r="A220">
        <v>144.3486</v>
      </c>
      <c r="B220">
        <v>8.7800000000000003E-2</v>
      </c>
      <c r="C220">
        <v>1.9800000000000002E-2</v>
      </c>
      <c r="D220">
        <v>0.55459999999999998</v>
      </c>
      <c r="E220">
        <f t="shared" si="14"/>
        <v>1.0950503723171276E-3</v>
      </c>
      <c r="F220">
        <f t="shared" si="15"/>
        <v>4.0791352233326641E-4</v>
      </c>
      <c r="G220">
        <f t="shared" si="16"/>
        <v>2.910230579807405E-3</v>
      </c>
    </row>
    <row r="221" spans="1:7" x14ac:dyDescent="0.25">
      <c r="A221">
        <v>145.38120000000001</v>
      </c>
      <c r="B221">
        <v>8.8700000000000001E-2</v>
      </c>
      <c r="C221">
        <v>2.01E-2</v>
      </c>
      <c r="D221">
        <v>0.55589999999999995</v>
      </c>
      <c r="E221">
        <f t="shared" si="14"/>
        <v>9.8662573996930272E-4</v>
      </c>
      <c r="F221">
        <f t="shared" si="15"/>
        <v>3.0605998775759866E-4</v>
      </c>
      <c r="G221">
        <f t="shared" si="16"/>
        <v>2.9187247418050468E-3</v>
      </c>
    </row>
    <row r="222" spans="1:7" x14ac:dyDescent="0.25">
      <c r="A222">
        <v>146.41370000000001</v>
      </c>
      <c r="B222">
        <v>8.9599999999999999E-2</v>
      </c>
      <c r="C222">
        <v>2.0500000000000001E-2</v>
      </c>
      <c r="D222">
        <v>0.55720000000000003</v>
      </c>
      <c r="E222">
        <f t="shared" si="14"/>
        <v>9.8760013168001535E-4</v>
      </c>
      <c r="F222">
        <f t="shared" si="15"/>
        <v>4.0820491886927343E-4</v>
      </c>
      <c r="G222">
        <f t="shared" si="16"/>
        <v>2.9272686331909001E-3</v>
      </c>
    </row>
    <row r="223" spans="1:7" x14ac:dyDescent="0.25">
      <c r="A223">
        <v>147.11170000000001</v>
      </c>
      <c r="B223">
        <v>9.0200000000000002E-2</v>
      </c>
      <c r="C223">
        <v>2.07E-2</v>
      </c>
      <c r="D223">
        <v>0.55800000000000005</v>
      </c>
      <c r="E223">
        <f t="shared" si="14"/>
        <v>6.5905096660808795E-4</v>
      </c>
      <c r="F223">
        <f t="shared" si="15"/>
        <v>2.0418580908626726E-4</v>
      </c>
      <c r="G223">
        <f t="shared" si="16"/>
        <v>1.8066847335140538E-3</v>
      </c>
    </row>
    <row r="224" spans="1:7" x14ac:dyDescent="0.25">
      <c r="A224">
        <v>147.80969999999999</v>
      </c>
      <c r="B224">
        <v>9.0800000000000006E-2</v>
      </c>
      <c r="C224">
        <v>2.0899999999999998E-2</v>
      </c>
      <c r="D224">
        <v>0.55889999999999995</v>
      </c>
      <c r="E224">
        <f t="shared" si="14"/>
        <v>6.5948560123104349E-4</v>
      </c>
      <c r="F224">
        <f t="shared" si="15"/>
        <v>2.0422750944552108E-4</v>
      </c>
      <c r="G224">
        <f t="shared" si="16"/>
        <v>2.0361990950224004E-3</v>
      </c>
    </row>
    <row r="225" spans="1:11" x14ac:dyDescent="0.25">
      <c r="A225">
        <v>148.5076</v>
      </c>
      <c r="B225">
        <v>9.1399999999999995E-2</v>
      </c>
      <c r="C225">
        <v>2.1100000000000001E-2</v>
      </c>
      <c r="D225">
        <v>0.55979999999999996</v>
      </c>
      <c r="E225">
        <f t="shared" si="14"/>
        <v>6.5992080950284804E-4</v>
      </c>
      <c r="F225">
        <f t="shared" si="15"/>
        <v>2.0426922684097873E-4</v>
      </c>
      <c r="G225">
        <f t="shared" si="16"/>
        <v>2.0403536613013188E-3</v>
      </c>
    </row>
    <row r="226" spans="1:11" x14ac:dyDescent="0.25">
      <c r="A226">
        <v>149.2056</v>
      </c>
      <c r="B226">
        <v>9.1999999999999998E-2</v>
      </c>
      <c r="C226">
        <v>2.1299999999999999E-2</v>
      </c>
      <c r="D226">
        <v>0.56059999999999999</v>
      </c>
      <c r="E226">
        <f t="shared" si="14"/>
        <v>6.6035659255998607E-4</v>
      </c>
      <c r="F226">
        <f t="shared" si="15"/>
        <v>2.0431096128307159E-4</v>
      </c>
      <c r="G226">
        <f t="shared" si="16"/>
        <v>1.8173557473876031E-3</v>
      </c>
    </row>
    <row r="227" spans="1:11" x14ac:dyDescent="0.25">
      <c r="A227">
        <v>149.90350000000001</v>
      </c>
      <c r="B227">
        <v>9.2499999999999999E-2</v>
      </c>
      <c r="C227">
        <v>2.1499999999999998E-2</v>
      </c>
      <c r="D227">
        <v>0.56130000000000002</v>
      </c>
      <c r="E227">
        <f t="shared" si="14"/>
        <v>5.5066079295154234E-4</v>
      </c>
      <c r="F227">
        <f t="shared" si="15"/>
        <v>2.0435271278226093E-4</v>
      </c>
      <c r="G227">
        <f t="shared" si="16"/>
        <v>1.5930814747383566E-3</v>
      </c>
    </row>
    <row r="228" spans="1:11" x14ac:dyDescent="0.25">
      <c r="A228">
        <v>150.60149999999999</v>
      </c>
      <c r="B228">
        <v>9.3100000000000002E-2</v>
      </c>
      <c r="C228">
        <v>2.18E-2</v>
      </c>
      <c r="D228">
        <v>0.56200000000000006</v>
      </c>
      <c r="E228">
        <f t="shared" si="14"/>
        <v>6.6115702479339206E-4</v>
      </c>
      <c r="F228">
        <f t="shared" si="15"/>
        <v>3.0659172202350706E-4</v>
      </c>
      <c r="G228">
        <f t="shared" si="16"/>
        <v>1.59562343286992E-3</v>
      </c>
      <c r="J228">
        <f>5*365/12</f>
        <v>152.08333333333334</v>
      </c>
    </row>
    <row r="229" spans="1:11" x14ac:dyDescent="0.25">
      <c r="A229">
        <v>151.29949999999999</v>
      </c>
      <c r="B229">
        <v>9.3600000000000003E-2</v>
      </c>
      <c r="C229">
        <v>2.1999999999999999E-2</v>
      </c>
      <c r="D229">
        <v>0.56259999999999999</v>
      </c>
      <c r="E229">
        <f t="shared" si="14"/>
        <v>5.5132870217223552E-4</v>
      </c>
      <c r="F229">
        <f t="shared" si="15"/>
        <v>2.0445716622367492E-4</v>
      </c>
      <c r="G229">
        <f t="shared" si="16"/>
        <v>1.3698630136984794E-3</v>
      </c>
    </row>
    <row r="230" spans="1:11" x14ac:dyDescent="0.25">
      <c r="A230">
        <v>151.9974</v>
      </c>
      <c r="B230">
        <v>9.4100000000000003E-2</v>
      </c>
      <c r="C230">
        <v>2.2200000000000001E-2</v>
      </c>
      <c r="D230">
        <v>0.56330000000000002</v>
      </c>
      <c r="E230">
        <f t="shared" si="14"/>
        <v>5.5163283318623174E-4</v>
      </c>
      <c r="F230">
        <f t="shared" si="15"/>
        <v>2.0449897750511478E-4</v>
      </c>
      <c r="G230">
        <f t="shared" si="16"/>
        <v>1.6003657978967396E-3</v>
      </c>
      <c r="I230">
        <f>B230</f>
        <v>9.4100000000000003E-2</v>
      </c>
      <c r="J230">
        <f t="shared" ref="J230:K230" si="17">C230</f>
        <v>2.2200000000000001E-2</v>
      </c>
      <c r="K230">
        <f t="shared" si="17"/>
        <v>0.56330000000000002</v>
      </c>
    </row>
    <row r="231" spans="1:11" x14ac:dyDescent="0.25">
      <c r="A231">
        <v>152.595</v>
      </c>
      <c r="B231">
        <v>9.4600000000000004E-2</v>
      </c>
      <c r="C231">
        <v>2.23E-2</v>
      </c>
      <c r="D231">
        <v>0.56379999999999997</v>
      </c>
      <c r="E231">
        <f t="shared" si="14"/>
        <v>5.519372999227293E-4</v>
      </c>
      <c r="F231">
        <f t="shared" si="15"/>
        <v>1.0227040294538699E-4</v>
      </c>
      <c r="G231">
        <f t="shared" si="16"/>
        <v>1.1449507671168879E-3</v>
      </c>
    </row>
    <row r="232" spans="1:11" x14ac:dyDescent="0.25">
      <c r="A232">
        <v>153.1926</v>
      </c>
      <c r="B232">
        <v>9.5000000000000001E-2</v>
      </c>
      <c r="C232">
        <v>2.2499999999999999E-2</v>
      </c>
      <c r="D232">
        <v>0.56440000000000001</v>
      </c>
      <c r="E232">
        <f t="shared" si="14"/>
        <v>4.417936823503397E-4</v>
      </c>
      <c r="F232">
        <f t="shared" si="15"/>
        <v>2.0456172650097043E-4</v>
      </c>
      <c r="G232">
        <f t="shared" si="16"/>
        <v>1.375515818432015E-3</v>
      </c>
    </row>
    <row r="233" spans="1:11" x14ac:dyDescent="0.25">
      <c r="A233">
        <v>153.7902</v>
      </c>
      <c r="B233">
        <v>9.5399999999999999E-2</v>
      </c>
      <c r="C233">
        <v>2.2700000000000001E-2</v>
      </c>
      <c r="D233">
        <v>0.56489999999999996</v>
      </c>
      <c r="E233">
        <f t="shared" si="14"/>
        <v>4.4198895027624038E-4</v>
      </c>
      <c r="F233">
        <f t="shared" si="15"/>
        <v>2.0460358056266216E-4</v>
      </c>
      <c r="G233">
        <f t="shared" si="16"/>
        <v>1.1478420569328396E-3</v>
      </c>
    </row>
    <row r="234" spans="1:11" x14ac:dyDescent="0.25">
      <c r="A234">
        <v>154.3877</v>
      </c>
      <c r="B234">
        <v>9.5799999999999996E-2</v>
      </c>
      <c r="C234">
        <v>2.29E-2</v>
      </c>
      <c r="D234">
        <v>0.5655</v>
      </c>
      <c r="E234">
        <f t="shared" si="14"/>
        <v>4.4218439089099891E-4</v>
      </c>
      <c r="F234">
        <f t="shared" si="15"/>
        <v>2.0464545175483351E-4</v>
      </c>
      <c r="G234">
        <f t="shared" si="16"/>
        <v>1.3789933348656513E-3</v>
      </c>
    </row>
    <row r="235" spans="1:11" x14ac:dyDescent="0.25">
      <c r="A235">
        <v>155.1001</v>
      </c>
      <c r="B235">
        <v>9.6299999999999997E-2</v>
      </c>
      <c r="C235">
        <v>2.3099999999999999E-2</v>
      </c>
      <c r="D235">
        <v>0.56610000000000005</v>
      </c>
      <c r="E235">
        <f t="shared" si="14"/>
        <v>5.5297500552975052E-4</v>
      </c>
      <c r="F235">
        <f t="shared" si="15"/>
        <v>2.0468734008801434E-4</v>
      </c>
      <c r="G235">
        <f t="shared" si="16"/>
        <v>1.3808975834293325E-3</v>
      </c>
    </row>
    <row r="236" spans="1:11" x14ac:dyDescent="0.25">
      <c r="A236">
        <v>155.8124</v>
      </c>
      <c r="B236">
        <v>9.6799999999999997E-2</v>
      </c>
      <c r="C236">
        <v>2.3199999999999998E-2</v>
      </c>
      <c r="D236">
        <v>0.56669999999999998</v>
      </c>
      <c r="E236">
        <f t="shared" si="14"/>
        <v>5.5328095606949263E-4</v>
      </c>
      <c r="F236">
        <f t="shared" si="15"/>
        <v>1.0236462278636441E-4</v>
      </c>
      <c r="G236">
        <f t="shared" si="16"/>
        <v>1.3828070984096196E-3</v>
      </c>
    </row>
    <row r="237" spans="1:11" x14ac:dyDescent="0.25">
      <c r="A237">
        <v>156.5247</v>
      </c>
      <c r="B237">
        <v>9.7299999999999998E-2</v>
      </c>
      <c r="C237">
        <v>2.3400000000000001E-2</v>
      </c>
      <c r="D237">
        <v>0.56740000000000002</v>
      </c>
      <c r="E237">
        <f t="shared" si="14"/>
        <v>5.5358724534986762E-4</v>
      </c>
      <c r="F237">
        <f t="shared" si="15"/>
        <v>2.0475020475020707E-4</v>
      </c>
      <c r="G237">
        <f t="shared" si="16"/>
        <v>1.6155088852989473E-3</v>
      </c>
    </row>
    <row r="238" spans="1:11" x14ac:dyDescent="0.25">
      <c r="A238">
        <v>157.23699999999999</v>
      </c>
      <c r="B238">
        <v>9.7699999999999995E-2</v>
      </c>
      <c r="C238">
        <v>2.3599999999999999E-2</v>
      </c>
      <c r="D238">
        <v>0.56799999999999995</v>
      </c>
      <c r="E238">
        <f t="shared" si="14"/>
        <v>4.4311509914700072E-4</v>
      </c>
      <c r="F238">
        <f t="shared" si="15"/>
        <v>2.0479213598197704E-4</v>
      </c>
      <c r="G238">
        <f t="shared" si="16"/>
        <v>1.3869625520109431E-3</v>
      </c>
    </row>
    <row r="239" spans="1:11" x14ac:dyDescent="0.25">
      <c r="A239">
        <v>158.06139999999999</v>
      </c>
      <c r="B239">
        <v>9.8299999999999998E-2</v>
      </c>
      <c r="C239">
        <v>2.3800000000000002E-2</v>
      </c>
      <c r="D239">
        <v>0.56869999999999998</v>
      </c>
      <c r="E239">
        <f t="shared" si="14"/>
        <v>6.649673057741364E-4</v>
      </c>
      <c r="F239">
        <f t="shared" si="15"/>
        <v>2.0483408439164508E-4</v>
      </c>
      <c r="G239">
        <f t="shared" si="16"/>
        <v>1.6203703703704488E-3</v>
      </c>
    </row>
    <row r="240" spans="1:11" x14ac:dyDescent="0.25">
      <c r="A240">
        <v>158.88579999999999</v>
      </c>
      <c r="B240">
        <v>9.8799999999999999E-2</v>
      </c>
      <c r="C240">
        <v>2.41E-2</v>
      </c>
      <c r="D240">
        <v>0.56940000000000002</v>
      </c>
      <c r="E240">
        <f t="shared" si="14"/>
        <v>5.5450815126982414E-4</v>
      </c>
      <c r="F240">
        <f t="shared" si="15"/>
        <v>3.0731407498463243E-4</v>
      </c>
      <c r="G240">
        <f t="shared" si="16"/>
        <v>1.6230002318572546E-3</v>
      </c>
    </row>
    <row r="241" spans="1:7" x14ac:dyDescent="0.25">
      <c r="A241">
        <v>159.71010000000001</v>
      </c>
      <c r="B241">
        <v>9.9199999999999997E-2</v>
      </c>
      <c r="C241">
        <v>2.4299999999999999E-2</v>
      </c>
      <c r="D241">
        <v>0.57010000000000005</v>
      </c>
      <c r="E241">
        <f t="shared" si="14"/>
        <v>4.4385264092321083E-4</v>
      </c>
      <c r="F241">
        <f t="shared" si="15"/>
        <v>2.0493903063838385E-4</v>
      </c>
      <c r="G241">
        <f t="shared" si="16"/>
        <v>1.6256386437529817E-3</v>
      </c>
    </row>
    <row r="242" spans="1:7" x14ac:dyDescent="0.25">
      <c r="A242">
        <v>160.53450000000001</v>
      </c>
      <c r="B242">
        <v>9.9699999999999997E-2</v>
      </c>
      <c r="C242">
        <v>2.4500000000000001E-2</v>
      </c>
      <c r="D242">
        <v>0.57079999999999997</v>
      </c>
      <c r="E242">
        <f t="shared" si="14"/>
        <v>5.5506216696270033E-4</v>
      </c>
      <c r="F242">
        <f t="shared" si="15"/>
        <v>2.0498103925387133E-4</v>
      </c>
      <c r="G242">
        <f t="shared" si="16"/>
        <v>1.6282856478248965E-3</v>
      </c>
    </row>
    <row r="243" spans="1:7" x14ac:dyDescent="0.25">
      <c r="A243">
        <v>161.34270000000001</v>
      </c>
      <c r="B243">
        <v>0.1002</v>
      </c>
      <c r="C243">
        <v>2.47E-2</v>
      </c>
      <c r="D243">
        <v>0.57150000000000001</v>
      </c>
      <c r="E243">
        <f t="shared" si="14"/>
        <v>5.553704320781967E-4</v>
      </c>
      <c r="F243">
        <f t="shared" si="15"/>
        <v>2.0502306509482193E-4</v>
      </c>
      <c r="G243">
        <f t="shared" si="16"/>
        <v>1.6309412861137788E-3</v>
      </c>
    </row>
    <row r="244" spans="1:7" x14ac:dyDescent="0.25">
      <c r="A244">
        <v>162.1508</v>
      </c>
      <c r="B244">
        <v>0.10059999999999999</v>
      </c>
      <c r="C244">
        <v>2.4899999999999999E-2</v>
      </c>
      <c r="D244">
        <v>0.57220000000000004</v>
      </c>
      <c r="E244">
        <f t="shared" si="14"/>
        <v>4.4454323182929268E-4</v>
      </c>
      <c r="F244">
        <f t="shared" si="15"/>
        <v>2.050651081718433E-4</v>
      </c>
      <c r="G244">
        <f t="shared" si="16"/>
        <v>1.6336056009335681E-3</v>
      </c>
    </row>
    <row r="245" spans="1:7" x14ac:dyDescent="0.25">
      <c r="A245">
        <v>162.9589</v>
      </c>
      <c r="B245">
        <v>0.1011</v>
      </c>
      <c r="C245">
        <v>2.5000000000000001E-2</v>
      </c>
      <c r="D245">
        <v>0.57289999999999996</v>
      </c>
      <c r="E245">
        <f t="shared" si="14"/>
        <v>5.5592617300422552E-4</v>
      </c>
      <c r="F245">
        <f t="shared" si="15"/>
        <v>1.025535842477724E-4</v>
      </c>
      <c r="G245">
        <f t="shared" si="16"/>
        <v>1.6362786348759304E-3</v>
      </c>
    </row>
    <row r="246" spans="1:7" x14ac:dyDescent="0.25">
      <c r="A246">
        <v>163.7671</v>
      </c>
      <c r="B246">
        <v>0.10150000000000001</v>
      </c>
      <c r="C246">
        <v>2.52E-2</v>
      </c>
      <c r="D246">
        <v>0.57350000000000001</v>
      </c>
      <c r="E246">
        <f t="shared" si="14"/>
        <v>4.449883190566375E-4</v>
      </c>
      <c r="F246">
        <f t="shared" si="15"/>
        <v>2.051282051282039E-4</v>
      </c>
      <c r="G246">
        <f t="shared" si="16"/>
        <v>1.4048232264107818E-3</v>
      </c>
    </row>
    <row r="247" spans="1:7" x14ac:dyDescent="0.25">
      <c r="A247">
        <v>164.50309999999999</v>
      </c>
      <c r="B247">
        <v>0.1019</v>
      </c>
      <c r="C247">
        <v>2.5399999999999999E-2</v>
      </c>
      <c r="D247">
        <v>0.57410000000000005</v>
      </c>
      <c r="E247">
        <f t="shared" si="14"/>
        <v>4.4518642181413199E-4</v>
      </c>
      <c r="F247">
        <f t="shared" si="15"/>
        <v>2.0517029134181245E-4</v>
      </c>
      <c r="G247">
        <f t="shared" si="16"/>
        <v>1.4067995310669283E-3</v>
      </c>
    </row>
    <row r="248" spans="1:7" x14ac:dyDescent="0.25">
      <c r="A248">
        <v>165.23910000000001</v>
      </c>
      <c r="B248">
        <v>0.1022</v>
      </c>
      <c r="C248">
        <v>2.5600000000000001E-2</v>
      </c>
      <c r="D248">
        <v>0.57469999999999999</v>
      </c>
      <c r="E248">
        <f t="shared" si="14"/>
        <v>3.340385257766337E-4</v>
      </c>
      <c r="F248">
        <f t="shared" si="15"/>
        <v>2.0521239482864997E-4</v>
      </c>
      <c r="G248">
        <f t="shared" si="16"/>
        <v>1.408781404085311E-3</v>
      </c>
    </row>
    <row r="249" spans="1:7" x14ac:dyDescent="0.25">
      <c r="A249">
        <v>165.9751</v>
      </c>
      <c r="B249">
        <v>0.1026</v>
      </c>
      <c r="C249">
        <v>2.5700000000000001E-2</v>
      </c>
      <c r="D249">
        <v>0.57530000000000003</v>
      </c>
      <c r="E249">
        <f t="shared" si="14"/>
        <v>4.455335263978587E-4</v>
      </c>
      <c r="F249">
        <f t="shared" si="15"/>
        <v>1.0262725779967097E-4</v>
      </c>
      <c r="G249">
        <f t="shared" si="16"/>
        <v>1.4107688690337291E-3</v>
      </c>
    </row>
    <row r="250" spans="1:7" x14ac:dyDescent="0.25">
      <c r="A250">
        <v>166.71109999999999</v>
      </c>
      <c r="B250">
        <v>0.10290000000000001</v>
      </c>
      <c r="C250">
        <v>2.5899999999999999E-2</v>
      </c>
      <c r="D250">
        <v>0.57589999999999997</v>
      </c>
      <c r="E250">
        <f t="shared" si="14"/>
        <v>3.3429908624917385E-4</v>
      </c>
      <c r="F250">
        <f t="shared" si="15"/>
        <v>2.0527558246946403E-4</v>
      </c>
      <c r="G250">
        <f t="shared" si="16"/>
        <v>1.4127619496113349E-3</v>
      </c>
    </row>
    <row r="251" spans="1:7" x14ac:dyDescent="0.25">
      <c r="A251">
        <v>167.42250000000001</v>
      </c>
      <c r="B251">
        <v>0.1033</v>
      </c>
      <c r="C251">
        <v>2.5999999999999999E-2</v>
      </c>
      <c r="D251">
        <v>0.57650000000000001</v>
      </c>
      <c r="E251">
        <f t="shared" si="14"/>
        <v>4.4588117266748141E-4</v>
      </c>
      <c r="F251">
        <f t="shared" si="15"/>
        <v>1.0265886459295698E-4</v>
      </c>
      <c r="G251">
        <f t="shared" si="16"/>
        <v>1.4147606696534895E-3</v>
      </c>
    </row>
    <row r="252" spans="1:7" x14ac:dyDescent="0.25">
      <c r="A252">
        <v>168.13380000000001</v>
      </c>
      <c r="B252">
        <v>0.1036</v>
      </c>
      <c r="C252">
        <v>2.6200000000000001E-2</v>
      </c>
      <c r="D252">
        <v>0.57709999999999995</v>
      </c>
      <c r="E252">
        <f t="shared" si="14"/>
        <v>3.3456005352960265E-4</v>
      </c>
      <c r="F252">
        <f t="shared" si="15"/>
        <v>2.0533880903490993E-4</v>
      </c>
      <c r="G252">
        <f t="shared" si="16"/>
        <v>1.4167650531285334E-3</v>
      </c>
    </row>
    <row r="253" spans="1:7" x14ac:dyDescent="0.25">
      <c r="A253">
        <v>168.84520000000001</v>
      </c>
      <c r="B253">
        <v>0.10390000000000001</v>
      </c>
      <c r="C253">
        <v>2.63E-2</v>
      </c>
      <c r="D253">
        <v>0.5776</v>
      </c>
      <c r="E253">
        <f t="shared" si="14"/>
        <v>3.3467202141901895E-4</v>
      </c>
      <c r="F253">
        <f t="shared" si="15"/>
        <v>1.0269049086054569E-4</v>
      </c>
      <c r="G253">
        <f t="shared" si="16"/>
        <v>1.1823126034524851E-3</v>
      </c>
    </row>
    <row r="254" spans="1:7" x14ac:dyDescent="0.25">
      <c r="A254">
        <v>169.5565</v>
      </c>
      <c r="B254">
        <v>0.1042</v>
      </c>
      <c r="C254">
        <v>2.64E-2</v>
      </c>
      <c r="D254">
        <v>0.57820000000000005</v>
      </c>
      <c r="E254">
        <f t="shared" si="14"/>
        <v>3.3478406427853445E-4</v>
      </c>
      <c r="F254">
        <f t="shared" si="15"/>
        <v>1.0270103728047591E-4</v>
      </c>
      <c r="G254">
        <f t="shared" si="16"/>
        <v>1.420454545454652E-3</v>
      </c>
    </row>
    <row r="255" spans="1:7" x14ac:dyDescent="0.25">
      <c r="A255">
        <v>170.30959999999999</v>
      </c>
      <c r="B255">
        <v>0.1045</v>
      </c>
      <c r="C255">
        <v>2.6599999999999999E-2</v>
      </c>
      <c r="D255">
        <v>0.57879999999999998</v>
      </c>
      <c r="E255">
        <f t="shared" si="14"/>
        <v>3.3489618218351719E-4</v>
      </c>
      <c r="F255">
        <f t="shared" si="15"/>
        <v>2.0542317173377031E-4</v>
      </c>
      <c r="G255">
        <f t="shared" si="16"/>
        <v>1.4224751066854765E-3</v>
      </c>
    </row>
    <row r="256" spans="1:7" x14ac:dyDescent="0.25">
      <c r="A256">
        <v>171.06280000000001</v>
      </c>
      <c r="B256">
        <v>0.1048</v>
      </c>
      <c r="C256">
        <v>2.6700000000000002E-2</v>
      </c>
      <c r="D256">
        <v>0.57940000000000003</v>
      </c>
      <c r="E256">
        <f t="shared" si="14"/>
        <v>3.3500837520938985E-4</v>
      </c>
      <c r="F256">
        <f t="shared" si="15"/>
        <v>1.0273268954181514E-4</v>
      </c>
      <c r="G256">
        <f t="shared" si="16"/>
        <v>1.424501424501531E-3</v>
      </c>
    </row>
    <row r="257" spans="1:11" x14ac:dyDescent="0.25">
      <c r="A257">
        <v>171.8159</v>
      </c>
      <c r="B257">
        <v>0.1051</v>
      </c>
      <c r="C257">
        <v>2.69E-2</v>
      </c>
      <c r="D257">
        <v>0.57989999999999997</v>
      </c>
      <c r="E257">
        <f t="shared" si="14"/>
        <v>3.3512064343162949E-4</v>
      </c>
      <c r="F257">
        <f t="shared" si="15"/>
        <v>2.0548648926332967E-4</v>
      </c>
      <c r="G257">
        <f t="shared" si="16"/>
        <v>1.1887779362813717E-3</v>
      </c>
    </row>
    <row r="258" spans="1:11" x14ac:dyDescent="0.25">
      <c r="A258">
        <v>172.56899999999999</v>
      </c>
      <c r="B258">
        <v>0.10539999999999999</v>
      </c>
      <c r="C258">
        <v>2.7E-2</v>
      </c>
      <c r="D258">
        <v>0.58050000000000002</v>
      </c>
      <c r="E258">
        <f t="shared" si="14"/>
        <v>3.3523298692590762E-4</v>
      </c>
      <c r="F258">
        <f t="shared" si="15"/>
        <v>1.0276436131949378E-4</v>
      </c>
      <c r="G258">
        <f t="shared" si="16"/>
        <v>1.428231373482611E-3</v>
      </c>
    </row>
    <row r="259" spans="1:11" x14ac:dyDescent="0.25">
      <c r="A259">
        <v>173.36949999999999</v>
      </c>
      <c r="B259">
        <v>0.1057</v>
      </c>
      <c r="C259">
        <v>2.7099999999999999E-2</v>
      </c>
      <c r="D259">
        <v>0.58109999999999995</v>
      </c>
      <c r="E259">
        <f t="shared" si="14"/>
        <v>3.3534540576795057E-4</v>
      </c>
      <c r="F259">
        <f t="shared" si="15"/>
        <v>1.0277492291880719E-4</v>
      </c>
      <c r="G259">
        <f t="shared" si="16"/>
        <v>1.4302741358758855E-3</v>
      </c>
    </row>
    <row r="260" spans="1:11" x14ac:dyDescent="0.25">
      <c r="A260">
        <v>174.17</v>
      </c>
      <c r="B260">
        <v>0.106</v>
      </c>
      <c r="C260">
        <v>2.7300000000000001E-2</v>
      </c>
      <c r="D260">
        <v>0.58169999999999999</v>
      </c>
      <c r="E260">
        <f t="shared" si="14"/>
        <v>3.3545790003353988E-4</v>
      </c>
      <c r="F260">
        <f t="shared" si="15"/>
        <v>2.0557097337856126E-4</v>
      </c>
      <c r="G260">
        <f t="shared" si="16"/>
        <v>1.4323227500597873E-3</v>
      </c>
    </row>
    <row r="261" spans="1:11" x14ac:dyDescent="0.25">
      <c r="A261">
        <v>174.97049999999999</v>
      </c>
      <c r="B261">
        <v>0.10630000000000001</v>
      </c>
      <c r="C261">
        <v>2.7400000000000001E-2</v>
      </c>
      <c r="D261">
        <v>0.58230000000000004</v>
      </c>
      <c r="E261">
        <f t="shared" si="14"/>
        <v>3.3557046979866735E-4</v>
      </c>
      <c r="F261">
        <f t="shared" si="15"/>
        <v>1.0280662074637545E-4</v>
      </c>
      <c r="G261">
        <f t="shared" si="16"/>
        <v>1.4343772412145467E-3</v>
      </c>
    </row>
    <row r="262" spans="1:11" x14ac:dyDescent="0.25">
      <c r="A262">
        <v>175.77090000000001</v>
      </c>
      <c r="B262">
        <v>0.1066</v>
      </c>
      <c r="C262">
        <v>2.75E-2</v>
      </c>
      <c r="D262">
        <v>0.58289999999999997</v>
      </c>
      <c r="E262">
        <f t="shared" si="14"/>
        <v>3.3568311513930258E-4</v>
      </c>
      <c r="F262">
        <f t="shared" si="15"/>
        <v>1.0281719103434031E-4</v>
      </c>
      <c r="G262">
        <f t="shared" si="16"/>
        <v>1.4364376346658702E-3</v>
      </c>
    </row>
    <row r="263" spans="1:11" x14ac:dyDescent="0.25">
      <c r="A263">
        <v>176.57239999999999</v>
      </c>
      <c r="B263">
        <v>0.10680000000000001</v>
      </c>
      <c r="C263">
        <v>2.7699999999999999E-2</v>
      </c>
      <c r="D263">
        <v>0.58350000000000002</v>
      </c>
      <c r="E263">
        <f t="shared" si="14"/>
        <v>2.2386389075442772E-4</v>
      </c>
      <c r="F263">
        <f t="shared" si="15"/>
        <v>2.0565552699228668E-4</v>
      </c>
      <c r="G263">
        <f t="shared" si="16"/>
        <v>1.4385039558859863E-3</v>
      </c>
    </row>
    <row r="264" spans="1:11" x14ac:dyDescent="0.25">
      <c r="A264">
        <v>177.37389999999999</v>
      </c>
      <c r="B264">
        <v>0.1071</v>
      </c>
      <c r="C264">
        <v>2.7799999999999998E-2</v>
      </c>
      <c r="D264">
        <v>0.58409999999999995</v>
      </c>
      <c r="E264">
        <f t="shared" ref="E264:E270" si="18">(B264-B263)/(1-B263)</f>
        <v>3.3587102552619201E-4</v>
      </c>
      <c r="F264">
        <f t="shared" ref="F264:F270" si="19">(C264-C263)/(1-C263)</f>
        <v>1.0284891494394671E-4</v>
      </c>
      <c r="G264">
        <f t="shared" ref="G264:G270" si="20">(D264-D263)/(1-D263)</f>
        <v>1.4405762304920383E-3</v>
      </c>
    </row>
    <row r="265" spans="1:11" x14ac:dyDescent="0.25">
      <c r="A265">
        <v>178.1754</v>
      </c>
      <c r="B265">
        <v>0.10730000000000001</v>
      </c>
      <c r="C265">
        <v>2.7900000000000001E-2</v>
      </c>
      <c r="D265">
        <v>0.5847</v>
      </c>
      <c r="E265">
        <f t="shared" si="18"/>
        <v>2.2398924851607763E-4</v>
      </c>
      <c r="F265">
        <f t="shared" si="19"/>
        <v>1.0285949393129281E-4</v>
      </c>
      <c r="G265">
        <f t="shared" si="20"/>
        <v>1.4426544842511297E-3</v>
      </c>
    </row>
    <row r="266" spans="1:11" x14ac:dyDescent="0.25">
      <c r="A266">
        <v>178.9769</v>
      </c>
      <c r="B266">
        <v>0.1076</v>
      </c>
      <c r="C266">
        <v>2.8000000000000001E-2</v>
      </c>
      <c r="D266">
        <v>0.58530000000000004</v>
      </c>
      <c r="E266">
        <f t="shared" si="18"/>
        <v>3.3605914640976218E-4</v>
      </c>
      <c r="F266">
        <f t="shared" si="19"/>
        <v>1.028700750951542E-4</v>
      </c>
      <c r="G266">
        <f t="shared" si="20"/>
        <v>1.4447387430774018E-3</v>
      </c>
    </row>
    <row r="267" spans="1:11" x14ac:dyDescent="0.25">
      <c r="A267">
        <v>179.23269999999999</v>
      </c>
      <c r="B267">
        <v>0.1077</v>
      </c>
      <c r="C267">
        <v>2.81E-2</v>
      </c>
      <c r="D267">
        <v>0.58550000000000002</v>
      </c>
      <c r="E267">
        <f t="shared" si="18"/>
        <v>1.120573733751713E-4</v>
      </c>
      <c r="F267">
        <f t="shared" si="19"/>
        <v>1.0288065843621337E-4</v>
      </c>
      <c r="G267">
        <f t="shared" si="20"/>
        <v>4.8227634434525681E-4</v>
      </c>
    </row>
    <row r="268" spans="1:11" x14ac:dyDescent="0.25">
      <c r="A268">
        <v>179.48840000000001</v>
      </c>
      <c r="B268">
        <v>0.1077</v>
      </c>
      <c r="C268">
        <v>2.81E-2</v>
      </c>
      <c r="D268">
        <v>0.5857</v>
      </c>
      <c r="E268">
        <f t="shared" si="18"/>
        <v>0</v>
      </c>
      <c r="F268">
        <f t="shared" si="19"/>
        <v>0</v>
      </c>
      <c r="G268">
        <f t="shared" si="20"/>
        <v>4.8250904704457895E-4</v>
      </c>
    </row>
    <row r="269" spans="1:11" x14ac:dyDescent="0.25">
      <c r="A269">
        <v>179.74420000000001</v>
      </c>
      <c r="B269">
        <v>0.10780000000000001</v>
      </c>
      <c r="C269">
        <v>2.8199999999999999E-2</v>
      </c>
      <c r="D269">
        <v>0.58589999999999998</v>
      </c>
      <c r="E269">
        <f t="shared" si="18"/>
        <v>1.1206993163734491E-4</v>
      </c>
      <c r="F269">
        <f t="shared" si="19"/>
        <v>1.0289124395513879E-4</v>
      </c>
      <c r="G269">
        <f t="shared" si="20"/>
        <v>4.827419744146222E-4</v>
      </c>
    </row>
    <row r="270" spans="1:11" x14ac:dyDescent="0.25">
      <c r="A270">
        <v>180</v>
      </c>
      <c r="B270">
        <v>0.1079</v>
      </c>
      <c r="C270">
        <v>2.8199999999999999E-2</v>
      </c>
      <c r="D270">
        <v>0.58609999999999995</v>
      </c>
      <c r="E270">
        <f t="shared" si="18"/>
        <v>1.1208249271462563E-4</v>
      </c>
      <c r="F270">
        <f t="shared" si="19"/>
        <v>0</v>
      </c>
      <c r="G270">
        <f t="shared" si="20"/>
        <v>4.8297512678091754E-4</v>
      </c>
      <c r="I270">
        <f>B270</f>
        <v>0.1079</v>
      </c>
      <c r="J270">
        <f t="shared" ref="J270:K270" si="21">C270</f>
        <v>2.8199999999999999E-2</v>
      </c>
      <c r="K270">
        <f t="shared" si="21"/>
        <v>0.58609999999999995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4"/>
  <sheetViews>
    <sheetView topLeftCell="A50" workbookViewId="0">
      <selection activeCell="F62" sqref="F62"/>
    </sheetView>
  </sheetViews>
  <sheetFormatPr defaultRowHeight="15" x14ac:dyDescent="0.25"/>
  <cols>
    <col min="6" max="6" width="34.42578125" style="3" bestFit="1" customWidth="1"/>
  </cols>
  <sheetData>
    <row r="1" spans="1:12" ht="15.75" x14ac:dyDescent="0.25">
      <c r="A1" s="2" t="s">
        <v>5</v>
      </c>
    </row>
    <row r="2" spans="1:12" x14ac:dyDescent="0.25">
      <c r="A2" t="s">
        <v>1</v>
      </c>
    </row>
    <row r="3" spans="1:12" ht="15.75" x14ac:dyDescent="0.25">
      <c r="A3" t="s">
        <v>14</v>
      </c>
      <c r="B3" t="s">
        <v>2</v>
      </c>
      <c r="C3" t="s">
        <v>3</v>
      </c>
      <c r="D3" t="s">
        <v>4</v>
      </c>
      <c r="L3" s="1"/>
    </row>
    <row r="4" spans="1:12" x14ac:dyDescent="0.25">
      <c r="A4">
        <v>1</v>
      </c>
      <c r="B4">
        <v>0</v>
      </c>
      <c r="C4">
        <v>0</v>
      </c>
      <c r="D4">
        <v>0</v>
      </c>
    </row>
    <row r="5" spans="1:12" x14ac:dyDescent="0.25">
      <c r="A5">
        <v>1.1044</v>
      </c>
      <c r="B5">
        <v>0</v>
      </c>
      <c r="C5">
        <v>0</v>
      </c>
      <c r="D5">
        <v>5.9999999999999995E-4</v>
      </c>
      <c r="E5" t="e">
        <f>B5-B4/B4</f>
        <v>#DIV/0!</v>
      </c>
      <c r="F5" s="3">
        <f>(C5-C4)/MAX(0.000000001,C4)</f>
        <v>0</v>
      </c>
      <c r="G5" t="e">
        <f t="shared" ref="G5" si="0">D5-D4/D4</f>
        <v>#DIV/0!</v>
      </c>
    </row>
    <row r="6" spans="1:12" x14ac:dyDescent="0.25">
      <c r="A6">
        <v>1.2088000000000001</v>
      </c>
      <c r="B6">
        <v>0</v>
      </c>
      <c r="C6">
        <v>0</v>
      </c>
      <c r="D6">
        <v>1.2999999999999999E-3</v>
      </c>
      <c r="E6" t="e">
        <f t="shared" ref="E6:E69" si="1">B6-B5/B5</f>
        <v>#DIV/0!</v>
      </c>
      <c r="F6" s="3">
        <f t="shared" ref="F6:F69" si="2">(C6-C5)/MAX(0.000000001,C5)</f>
        <v>0</v>
      </c>
      <c r="G6">
        <f t="shared" ref="G6:G69" si="3">D6-D5/D5</f>
        <v>-0.99870000000000003</v>
      </c>
    </row>
    <row r="7" spans="1:12" x14ac:dyDescent="0.25">
      <c r="A7">
        <v>1.3131999999999999</v>
      </c>
      <c r="B7">
        <v>0</v>
      </c>
      <c r="C7">
        <v>0</v>
      </c>
      <c r="D7">
        <v>1.9E-3</v>
      </c>
      <c r="E7" t="e">
        <f t="shared" si="1"/>
        <v>#DIV/0!</v>
      </c>
      <c r="F7" s="3">
        <f t="shared" si="2"/>
        <v>0</v>
      </c>
      <c r="G7">
        <f t="shared" si="3"/>
        <v>-0.99809999999999999</v>
      </c>
    </row>
    <row r="8" spans="1:12" x14ac:dyDescent="0.25">
      <c r="A8">
        <v>1.4176</v>
      </c>
      <c r="B8">
        <v>0</v>
      </c>
      <c r="C8">
        <v>0</v>
      </c>
      <c r="D8">
        <v>2.5000000000000001E-3</v>
      </c>
      <c r="E8" t="e">
        <f t="shared" si="1"/>
        <v>#DIV/0!</v>
      </c>
      <c r="F8" s="3">
        <f t="shared" si="2"/>
        <v>0</v>
      </c>
      <c r="G8">
        <f t="shared" si="3"/>
        <v>-0.99750000000000005</v>
      </c>
    </row>
    <row r="9" spans="1:12" x14ac:dyDescent="0.25">
      <c r="A9">
        <v>1.9177</v>
      </c>
      <c r="B9">
        <v>0</v>
      </c>
      <c r="C9">
        <v>0</v>
      </c>
      <c r="D9">
        <v>5.4999999999999997E-3</v>
      </c>
      <c r="E9" t="e">
        <f t="shared" si="1"/>
        <v>#DIV/0!</v>
      </c>
      <c r="F9" s="3">
        <f t="shared" si="2"/>
        <v>0</v>
      </c>
      <c r="G9">
        <f t="shared" si="3"/>
        <v>-0.99450000000000005</v>
      </c>
    </row>
    <row r="10" spans="1:12" x14ac:dyDescent="0.25">
      <c r="A10">
        <v>2.4178000000000002</v>
      </c>
      <c r="B10">
        <v>0</v>
      </c>
      <c r="C10">
        <v>0</v>
      </c>
      <c r="D10">
        <v>8.6E-3</v>
      </c>
      <c r="E10" t="e">
        <f t="shared" si="1"/>
        <v>#DIV/0!</v>
      </c>
      <c r="F10" s="3">
        <f t="shared" si="2"/>
        <v>0</v>
      </c>
      <c r="G10">
        <f t="shared" si="3"/>
        <v>-0.99139999999999995</v>
      </c>
    </row>
    <row r="11" spans="1:12" x14ac:dyDescent="0.25">
      <c r="A11">
        <v>2.9178999999999999</v>
      </c>
      <c r="B11">
        <v>0</v>
      </c>
      <c r="C11">
        <v>0</v>
      </c>
      <c r="D11">
        <v>1.1599999999999999E-2</v>
      </c>
      <c r="E11" t="e">
        <f t="shared" si="1"/>
        <v>#DIV/0!</v>
      </c>
      <c r="F11" s="3">
        <f t="shared" si="2"/>
        <v>0</v>
      </c>
      <c r="G11">
        <f t="shared" si="3"/>
        <v>-0.98839999999999995</v>
      </c>
    </row>
    <row r="12" spans="1:12" x14ac:dyDescent="0.25">
      <c r="A12">
        <v>3.4180000000000001</v>
      </c>
      <c r="B12">
        <v>0</v>
      </c>
      <c r="C12">
        <v>0</v>
      </c>
      <c r="D12">
        <v>1.4500000000000001E-2</v>
      </c>
      <c r="E12" t="e">
        <f t="shared" si="1"/>
        <v>#DIV/0!</v>
      </c>
      <c r="F12" s="3">
        <f t="shared" si="2"/>
        <v>0</v>
      </c>
      <c r="G12">
        <f t="shared" si="3"/>
        <v>-0.98550000000000004</v>
      </c>
    </row>
    <row r="13" spans="1:12" x14ac:dyDescent="0.25">
      <c r="A13">
        <v>3.9068999999999998</v>
      </c>
      <c r="B13">
        <v>0</v>
      </c>
      <c r="C13">
        <v>0</v>
      </c>
      <c r="D13">
        <v>1.7500000000000002E-2</v>
      </c>
      <c r="E13" t="e">
        <f t="shared" si="1"/>
        <v>#DIV/0!</v>
      </c>
      <c r="F13" s="3">
        <f t="shared" si="2"/>
        <v>0</v>
      </c>
      <c r="G13">
        <f t="shared" si="3"/>
        <v>-0.98250000000000004</v>
      </c>
    </row>
    <row r="14" spans="1:12" x14ac:dyDescent="0.25">
      <c r="A14">
        <v>4.3956999999999997</v>
      </c>
      <c r="B14">
        <v>0</v>
      </c>
      <c r="C14">
        <v>0</v>
      </c>
      <c r="D14">
        <v>2.0400000000000001E-2</v>
      </c>
      <c r="E14" t="e">
        <f t="shared" si="1"/>
        <v>#DIV/0!</v>
      </c>
      <c r="F14" s="3">
        <f t="shared" si="2"/>
        <v>0</v>
      </c>
      <c r="G14">
        <f t="shared" si="3"/>
        <v>-0.97960000000000003</v>
      </c>
    </row>
    <row r="15" spans="1:12" x14ac:dyDescent="0.25">
      <c r="A15">
        <v>4.8845000000000001</v>
      </c>
      <c r="B15">
        <v>0</v>
      </c>
      <c r="C15">
        <v>0</v>
      </c>
      <c r="D15">
        <v>2.3300000000000001E-2</v>
      </c>
      <c r="E15" t="e">
        <f t="shared" si="1"/>
        <v>#DIV/0!</v>
      </c>
      <c r="F15" s="3">
        <f t="shared" si="2"/>
        <v>0</v>
      </c>
      <c r="G15">
        <f t="shared" si="3"/>
        <v>-0.97670000000000001</v>
      </c>
    </row>
    <row r="16" spans="1:12" x14ac:dyDescent="0.25">
      <c r="A16">
        <v>5.3733000000000004</v>
      </c>
      <c r="B16">
        <v>0</v>
      </c>
      <c r="C16">
        <v>0</v>
      </c>
      <c r="D16">
        <v>2.6100000000000002E-2</v>
      </c>
      <c r="E16" t="e">
        <f t="shared" si="1"/>
        <v>#DIV/0!</v>
      </c>
      <c r="F16" s="3">
        <f t="shared" si="2"/>
        <v>0</v>
      </c>
      <c r="G16">
        <f t="shared" si="3"/>
        <v>-0.97389999999999999</v>
      </c>
    </row>
    <row r="17" spans="1:7" x14ac:dyDescent="0.25">
      <c r="A17">
        <v>6.0556999999999999</v>
      </c>
      <c r="B17">
        <v>0</v>
      </c>
      <c r="C17">
        <v>0</v>
      </c>
      <c r="D17">
        <v>3.0200000000000001E-2</v>
      </c>
      <c r="E17" t="e">
        <f t="shared" si="1"/>
        <v>#DIV/0!</v>
      </c>
      <c r="F17" s="3">
        <f t="shared" si="2"/>
        <v>0</v>
      </c>
      <c r="G17">
        <f t="shared" si="3"/>
        <v>-0.9698</v>
      </c>
    </row>
    <row r="18" spans="1:7" x14ac:dyDescent="0.25">
      <c r="A18">
        <v>6.7380000000000004</v>
      </c>
      <c r="B18">
        <v>0</v>
      </c>
      <c r="C18">
        <v>0</v>
      </c>
      <c r="D18">
        <v>3.4099999999999998E-2</v>
      </c>
      <c r="E18" t="e">
        <f t="shared" si="1"/>
        <v>#DIV/0!</v>
      </c>
      <c r="F18" s="3">
        <f t="shared" si="2"/>
        <v>0</v>
      </c>
      <c r="G18">
        <f t="shared" si="3"/>
        <v>-0.96589999999999998</v>
      </c>
    </row>
    <row r="19" spans="1:7" x14ac:dyDescent="0.25">
      <c r="A19">
        <v>7.4203000000000001</v>
      </c>
      <c r="B19">
        <v>1E-4</v>
      </c>
      <c r="C19">
        <v>0</v>
      </c>
      <c r="D19">
        <v>3.8100000000000002E-2</v>
      </c>
      <c r="E19" t="e">
        <f t="shared" si="1"/>
        <v>#DIV/0!</v>
      </c>
      <c r="F19" s="3">
        <f t="shared" si="2"/>
        <v>0</v>
      </c>
      <c r="G19">
        <f t="shared" si="3"/>
        <v>-0.96189999999999998</v>
      </c>
    </row>
    <row r="20" spans="1:7" x14ac:dyDescent="0.25">
      <c r="A20">
        <v>8.1027000000000005</v>
      </c>
      <c r="B20">
        <v>1E-4</v>
      </c>
      <c r="C20">
        <v>0</v>
      </c>
      <c r="D20">
        <v>4.2099999999999999E-2</v>
      </c>
      <c r="E20">
        <f t="shared" si="1"/>
        <v>-0.99990000000000001</v>
      </c>
      <c r="F20" s="3">
        <f t="shared" si="2"/>
        <v>0</v>
      </c>
      <c r="G20">
        <f t="shared" si="3"/>
        <v>-0.95789999999999997</v>
      </c>
    </row>
    <row r="21" spans="1:7" x14ac:dyDescent="0.25">
      <c r="A21">
        <v>9.0114000000000001</v>
      </c>
      <c r="B21">
        <v>1E-4</v>
      </c>
      <c r="C21">
        <v>0</v>
      </c>
      <c r="D21">
        <v>4.7300000000000002E-2</v>
      </c>
      <c r="E21">
        <f t="shared" si="1"/>
        <v>-0.99990000000000001</v>
      </c>
      <c r="F21" s="3">
        <f t="shared" si="2"/>
        <v>0</v>
      </c>
      <c r="G21">
        <f t="shared" si="3"/>
        <v>-0.95269999999999999</v>
      </c>
    </row>
    <row r="22" spans="1:7" x14ac:dyDescent="0.25">
      <c r="A22">
        <v>9.9200999999999997</v>
      </c>
      <c r="B22">
        <v>1E-4</v>
      </c>
      <c r="C22">
        <v>0</v>
      </c>
      <c r="D22">
        <v>5.2499999999999998E-2</v>
      </c>
      <c r="E22">
        <f t="shared" si="1"/>
        <v>-0.99990000000000001</v>
      </c>
      <c r="F22" s="3">
        <f t="shared" si="2"/>
        <v>0</v>
      </c>
      <c r="G22">
        <f t="shared" si="3"/>
        <v>-0.94750000000000001</v>
      </c>
    </row>
    <row r="23" spans="1:7" x14ac:dyDescent="0.25">
      <c r="A23">
        <v>10.828799999999999</v>
      </c>
      <c r="B23">
        <v>1E-4</v>
      </c>
      <c r="C23">
        <v>0</v>
      </c>
      <c r="D23">
        <v>5.7700000000000001E-2</v>
      </c>
      <c r="E23">
        <f t="shared" si="1"/>
        <v>-0.99990000000000001</v>
      </c>
      <c r="F23" s="3">
        <f t="shared" si="2"/>
        <v>0</v>
      </c>
      <c r="G23">
        <f t="shared" si="3"/>
        <v>-0.94230000000000003</v>
      </c>
    </row>
    <row r="24" spans="1:7" x14ac:dyDescent="0.25">
      <c r="A24">
        <v>11.737500000000001</v>
      </c>
      <c r="B24">
        <v>1E-4</v>
      </c>
      <c r="C24">
        <v>0</v>
      </c>
      <c r="D24">
        <v>6.2899999999999998E-2</v>
      </c>
      <c r="E24">
        <f t="shared" si="1"/>
        <v>-0.99990000000000001</v>
      </c>
      <c r="F24" s="3">
        <f t="shared" si="2"/>
        <v>0</v>
      </c>
      <c r="G24">
        <f t="shared" si="3"/>
        <v>-0.93710000000000004</v>
      </c>
    </row>
    <row r="25" spans="1:7" x14ac:dyDescent="0.25">
      <c r="A25">
        <v>12.4274</v>
      </c>
      <c r="B25">
        <v>1E-4</v>
      </c>
      <c r="C25">
        <v>0</v>
      </c>
      <c r="D25">
        <v>6.6799999999999998E-2</v>
      </c>
      <c r="E25">
        <f t="shared" si="1"/>
        <v>-0.99990000000000001</v>
      </c>
      <c r="F25" s="3">
        <f t="shared" si="2"/>
        <v>0</v>
      </c>
      <c r="G25">
        <f t="shared" si="3"/>
        <v>-0.93320000000000003</v>
      </c>
    </row>
    <row r="26" spans="1:7" x14ac:dyDescent="0.25">
      <c r="A26">
        <v>13.1173</v>
      </c>
      <c r="B26">
        <v>1E-4</v>
      </c>
      <c r="C26">
        <v>0</v>
      </c>
      <c r="D26">
        <v>7.0699999999999999E-2</v>
      </c>
      <c r="E26">
        <f t="shared" si="1"/>
        <v>-0.99990000000000001</v>
      </c>
      <c r="F26" s="3">
        <f t="shared" si="2"/>
        <v>0</v>
      </c>
      <c r="G26">
        <f t="shared" si="3"/>
        <v>-0.92930000000000001</v>
      </c>
    </row>
    <row r="27" spans="1:7" x14ac:dyDescent="0.25">
      <c r="A27">
        <v>13.8072</v>
      </c>
      <c r="B27">
        <v>1E-4</v>
      </c>
      <c r="C27">
        <v>0</v>
      </c>
      <c r="D27">
        <v>7.4499999999999997E-2</v>
      </c>
      <c r="E27">
        <f t="shared" si="1"/>
        <v>-0.99990000000000001</v>
      </c>
      <c r="F27" s="3">
        <f t="shared" si="2"/>
        <v>0</v>
      </c>
      <c r="G27">
        <f t="shared" si="3"/>
        <v>-0.92549999999999999</v>
      </c>
    </row>
    <row r="28" spans="1:7" x14ac:dyDescent="0.25">
      <c r="A28">
        <v>14.4971</v>
      </c>
      <c r="B28">
        <v>1E-4</v>
      </c>
      <c r="C28">
        <v>0</v>
      </c>
      <c r="D28">
        <v>7.8399999999999997E-2</v>
      </c>
      <c r="E28">
        <f t="shared" si="1"/>
        <v>-0.99990000000000001</v>
      </c>
      <c r="F28" s="3">
        <f t="shared" si="2"/>
        <v>0</v>
      </c>
      <c r="G28">
        <f t="shared" si="3"/>
        <v>-0.92159999999999997</v>
      </c>
    </row>
    <row r="29" spans="1:7" x14ac:dyDescent="0.25">
      <c r="A29">
        <v>15.186999999999999</v>
      </c>
      <c r="B29">
        <v>2.0000000000000001E-4</v>
      </c>
      <c r="C29">
        <v>0</v>
      </c>
      <c r="D29">
        <v>8.2199999999999995E-2</v>
      </c>
      <c r="E29">
        <f t="shared" si="1"/>
        <v>-0.99980000000000002</v>
      </c>
      <c r="F29" s="3">
        <f t="shared" si="2"/>
        <v>0</v>
      </c>
      <c r="G29">
        <f t="shared" si="3"/>
        <v>-0.91779999999999995</v>
      </c>
    </row>
    <row r="30" spans="1:7" x14ac:dyDescent="0.25">
      <c r="A30">
        <v>15.876899999999999</v>
      </c>
      <c r="B30">
        <v>2.0000000000000001E-4</v>
      </c>
      <c r="C30">
        <v>0</v>
      </c>
      <c r="D30">
        <v>8.5999999999999993E-2</v>
      </c>
      <c r="E30">
        <f t="shared" si="1"/>
        <v>-0.99980000000000002</v>
      </c>
      <c r="F30" s="3">
        <f t="shared" si="2"/>
        <v>0</v>
      </c>
      <c r="G30">
        <f t="shared" si="3"/>
        <v>-0.91400000000000003</v>
      </c>
    </row>
    <row r="31" spans="1:7" x14ac:dyDescent="0.25">
      <c r="A31">
        <v>16.566800000000001</v>
      </c>
      <c r="B31">
        <v>2.0000000000000001E-4</v>
      </c>
      <c r="C31">
        <v>0</v>
      </c>
      <c r="D31">
        <v>8.9800000000000005E-2</v>
      </c>
      <c r="E31">
        <f t="shared" si="1"/>
        <v>-0.99980000000000002</v>
      </c>
      <c r="F31" s="3">
        <f t="shared" si="2"/>
        <v>0</v>
      </c>
      <c r="G31">
        <f t="shared" si="3"/>
        <v>-0.91020000000000001</v>
      </c>
    </row>
    <row r="32" spans="1:7" x14ac:dyDescent="0.25">
      <c r="A32">
        <v>17.256699999999999</v>
      </c>
      <c r="B32">
        <v>2.0000000000000001E-4</v>
      </c>
      <c r="C32">
        <v>0</v>
      </c>
      <c r="D32">
        <v>9.3600000000000003E-2</v>
      </c>
      <c r="E32">
        <f t="shared" si="1"/>
        <v>-0.99980000000000002</v>
      </c>
      <c r="F32" s="3">
        <f t="shared" si="2"/>
        <v>0</v>
      </c>
      <c r="G32">
        <f t="shared" si="3"/>
        <v>-0.90639999999999998</v>
      </c>
    </row>
    <row r="33" spans="1:17" x14ac:dyDescent="0.25">
      <c r="A33">
        <v>18.025700000000001</v>
      </c>
      <c r="B33">
        <v>2.0000000000000001E-4</v>
      </c>
      <c r="C33">
        <v>0</v>
      </c>
      <c r="D33">
        <v>9.7799999999999998E-2</v>
      </c>
      <c r="E33">
        <f t="shared" si="1"/>
        <v>-0.99980000000000002</v>
      </c>
      <c r="F33" s="3">
        <f t="shared" si="2"/>
        <v>0</v>
      </c>
      <c r="G33">
        <f t="shared" si="3"/>
        <v>-0.9022</v>
      </c>
    </row>
    <row r="34" spans="1:17" x14ac:dyDescent="0.25">
      <c r="A34">
        <v>18.794699999999999</v>
      </c>
      <c r="B34">
        <v>2.0000000000000001E-4</v>
      </c>
      <c r="C34">
        <v>0</v>
      </c>
      <c r="D34">
        <v>0.1019</v>
      </c>
      <c r="E34">
        <f t="shared" si="1"/>
        <v>-0.99980000000000002</v>
      </c>
      <c r="F34" s="3">
        <f t="shared" si="2"/>
        <v>0</v>
      </c>
      <c r="G34">
        <f t="shared" si="3"/>
        <v>-0.89810000000000001</v>
      </c>
    </row>
    <row r="35" spans="1:17" x14ac:dyDescent="0.25">
      <c r="A35">
        <v>19.563700000000001</v>
      </c>
      <c r="B35">
        <v>2.9999999999999997E-4</v>
      </c>
      <c r="C35">
        <v>0</v>
      </c>
      <c r="D35">
        <v>0.1061</v>
      </c>
      <c r="E35">
        <f t="shared" si="1"/>
        <v>-0.99970000000000003</v>
      </c>
      <c r="F35" s="3">
        <f t="shared" si="2"/>
        <v>0</v>
      </c>
      <c r="G35">
        <f t="shared" si="3"/>
        <v>-0.89390000000000003</v>
      </c>
    </row>
    <row r="36" spans="1:17" x14ac:dyDescent="0.25">
      <c r="A36">
        <v>20.332699999999999</v>
      </c>
      <c r="B36">
        <v>2.9999999999999997E-4</v>
      </c>
      <c r="C36">
        <v>0</v>
      </c>
      <c r="D36">
        <v>0.11020000000000001</v>
      </c>
      <c r="E36">
        <f t="shared" si="1"/>
        <v>-0.99970000000000003</v>
      </c>
      <c r="F36" s="3">
        <f t="shared" si="2"/>
        <v>0</v>
      </c>
      <c r="G36">
        <f t="shared" si="3"/>
        <v>-0.88980000000000004</v>
      </c>
    </row>
    <row r="37" spans="1:17" x14ac:dyDescent="0.25">
      <c r="A37">
        <v>21.131699999999999</v>
      </c>
      <c r="B37">
        <v>2.9999999999999997E-4</v>
      </c>
      <c r="C37">
        <v>0</v>
      </c>
      <c r="D37">
        <v>0.1145</v>
      </c>
      <c r="E37">
        <f t="shared" si="1"/>
        <v>-0.99970000000000003</v>
      </c>
      <c r="F37" s="3">
        <f t="shared" si="2"/>
        <v>0</v>
      </c>
      <c r="G37">
        <f t="shared" si="3"/>
        <v>-0.88549999999999995</v>
      </c>
    </row>
    <row r="38" spans="1:17" x14ac:dyDescent="0.25">
      <c r="A38">
        <v>21.930700000000002</v>
      </c>
      <c r="B38">
        <v>2.9999999999999997E-4</v>
      </c>
      <c r="C38">
        <v>0</v>
      </c>
      <c r="D38">
        <v>0.1187</v>
      </c>
      <c r="E38">
        <f t="shared" si="1"/>
        <v>-0.99970000000000003</v>
      </c>
      <c r="F38" s="3">
        <f t="shared" si="2"/>
        <v>0</v>
      </c>
      <c r="G38">
        <f t="shared" si="3"/>
        <v>-0.88129999999999997</v>
      </c>
    </row>
    <row r="39" spans="1:17" x14ac:dyDescent="0.25">
      <c r="A39">
        <v>22.729700000000001</v>
      </c>
      <c r="B39">
        <v>4.0000000000000002E-4</v>
      </c>
      <c r="C39">
        <v>0</v>
      </c>
      <c r="D39">
        <v>0.1229</v>
      </c>
      <c r="E39">
        <f t="shared" si="1"/>
        <v>-0.99960000000000004</v>
      </c>
      <c r="F39" s="3">
        <f t="shared" si="2"/>
        <v>0</v>
      </c>
      <c r="G39">
        <f t="shared" si="3"/>
        <v>-0.87709999999999999</v>
      </c>
    </row>
    <row r="40" spans="1:17" x14ac:dyDescent="0.25">
      <c r="A40">
        <v>23.528700000000001</v>
      </c>
      <c r="B40">
        <v>4.0000000000000002E-4</v>
      </c>
      <c r="C40">
        <v>0</v>
      </c>
      <c r="D40">
        <v>0.12709999999999999</v>
      </c>
      <c r="E40">
        <f t="shared" si="1"/>
        <v>-0.99960000000000004</v>
      </c>
      <c r="F40" s="3">
        <f t="shared" si="2"/>
        <v>0</v>
      </c>
      <c r="G40">
        <f t="shared" si="3"/>
        <v>-0.87290000000000001</v>
      </c>
    </row>
    <row r="41" spans="1:17" x14ac:dyDescent="0.25">
      <c r="A41">
        <v>24.2669</v>
      </c>
      <c r="B41">
        <v>4.0000000000000002E-4</v>
      </c>
      <c r="C41">
        <v>0</v>
      </c>
      <c r="D41">
        <v>0.13100000000000001</v>
      </c>
      <c r="E41">
        <f t="shared" si="1"/>
        <v>-0.99960000000000004</v>
      </c>
      <c r="F41" s="3">
        <f t="shared" si="2"/>
        <v>0</v>
      </c>
      <c r="G41">
        <f t="shared" si="3"/>
        <v>-0.86899999999999999</v>
      </c>
    </row>
    <row r="42" spans="1:17" x14ac:dyDescent="0.25">
      <c r="A42">
        <v>25.005099999999999</v>
      </c>
      <c r="B42">
        <v>4.0000000000000002E-4</v>
      </c>
      <c r="C42">
        <v>0</v>
      </c>
      <c r="D42">
        <v>0.1348</v>
      </c>
      <c r="E42">
        <f t="shared" si="1"/>
        <v>-0.99960000000000004</v>
      </c>
      <c r="F42" s="3">
        <f t="shared" si="2"/>
        <v>0</v>
      </c>
      <c r="G42">
        <f t="shared" si="3"/>
        <v>-0.86519999999999997</v>
      </c>
    </row>
    <row r="43" spans="1:17" x14ac:dyDescent="0.25">
      <c r="A43">
        <v>25.743200000000002</v>
      </c>
      <c r="B43">
        <v>5.0000000000000001E-4</v>
      </c>
      <c r="C43">
        <v>0</v>
      </c>
      <c r="D43">
        <v>0.13869999999999999</v>
      </c>
      <c r="E43">
        <f t="shared" si="1"/>
        <v>-0.99950000000000006</v>
      </c>
      <c r="F43" s="3">
        <f t="shared" si="2"/>
        <v>0</v>
      </c>
      <c r="G43">
        <f t="shared" si="3"/>
        <v>-0.86129999999999995</v>
      </c>
    </row>
    <row r="44" spans="1:17" x14ac:dyDescent="0.25">
      <c r="A44">
        <v>26.481400000000001</v>
      </c>
      <c r="B44">
        <v>5.0000000000000001E-4</v>
      </c>
      <c r="C44">
        <v>0</v>
      </c>
      <c r="D44">
        <v>0.14249999999999999</v>
      </c>
      <c r="E44">
        <f t="shared" si="1"/>
        <v>-0.99950000000000006</v>
      </c>
      <c r="F44" s="3">
        <f t="shared" si="2"/>
        <v>0</v>
      </c>
      <c r="G44">
        <f t="shared" si="3"/>
        <v>-0.85750000000000004</v>
      </c>
    </row>
    <row r="45" spans="1:17" x14ac:dyDescent="0.25">
      <c r="A45">
        <v>27.146899999999999</v>
      </c>
      <c r="B45">
        <v>5.0000000000000001E-4</v>
      </c>
      <c r="C45">
        <v>0</v>
      </c>
      <c r="D45">
        <v>0.1459</v>
      </c>
      <c r="E45">
        <f t="shared" si="1"/>
        <v>-0.99950000000000006</v>
      </c>
      <c r="F45" s="3">
        <f t="shared" si="2"/>
        <v>0</v>
      </c>
      <c r="G45">
        <f t="shared" si="3"/>
        <v>-0.85409999999999997</v>
      </c>
    </row>
    <row r="46" spans="1:17" x14ac:dyDescent="0.25">
      <c r="A46">
        <v>27.8124</v>
      </c>
      <c r="B46">
        <v>5.9999999999999995E-4</v>
      </c>
      <c r="C46">
        <v>0</v>
      </c>
      <c r="D46">
        <v>0.14929999999999999</v>
      </c>
      <c r="E46">
        <f t="shared" si="1"/>
        <v>-0.99939999999999996</v>
      </c>
      <c r="F46" s="3">
        <f t="shared" si="2"/>
        <v>0</v>
      </c>
      <c r="G46">
        <f t="shared" si="3"/>
        <v>-0.85070000000000001</v>
      </c>
    </row>
    <row r="47" spans="1:17" x14ac:dyDescent="0.25">
      <c r="A47">
        <v>28.477900000000002</v>
      </c>
      <c r="B47">
        <v>5.9999999999999995E-4</v>
      </c>
      <c r="C47">
        <v>0</v>
      </c>
      <c r="D47">
        <v>0.1527</v>
      </c>
      <c r="E47">
        <f t="shared" si="1"/>
        <v>-0.99939999999999996</v>
      </c>
      <c r="F47" s="3">
        <f t="shared" si="2"/>
        <v>0</v>
      </c>
      <c r="G47">
        <f t="shared" si="3"/>
        <v>-0.84729999999999994</v>
      </c>
      <c r="N47" t="s">
        <v>6</v>
      </c>
      <c r="O47">
        <v>0</v>
      </c>
      <c r="P47">
        <v>0</v>
      </c>
      <c r="Q47">
        <v>0</v>
      </c>
    </row>
    <row r="48" spans="1:17" x14ac:dyDescent="0.25">
      <c r="A48">
        <v>29.1434</v>
      </c>
      <c r="B48">
        <v>5.9999999999999995E-4</v>
      </c>
      <c r="C48">
        <v>0</v>
      </c>
      <c r="D48">
        <v>0.15609999999999999</v>
      </c>
      <c r="E48">
        <f t="shared" si="1"/>
        <v>-0.99939999999999996</v>
      </c>
      <c r="F48" s="3">
        <f t="shared" si="2"/>
        <v>0</v>
      </c>
      <c r="G48">
        <f t="shared" si="3"/>
        <v>-0.84389999999999998</v>
      </c>
      <c r="N48" t="s">
        <v>7</v>
      </c>
      <c r="O48">
        <v>6.9999999999999999E-4</v>
      </c>
      <c r="P48">
        <v>0</v>
      </c>
      <c r="Q48">
        <v>0.16250000000000001</v>
      </c>
    </row>
    <row r="49" spans="1:17" x14ac:dyDescent="0.25">
      <c r="A49">
        <v>29.3399</v>
      </c>
      <c r="B49">
        <v>5.9999999999999995E-4</v>
      </c>
      <c r="C49">
        <v>0</v>
      </c>
      <c r="D49">
        <v>0.15709999999999999</v>
      </c>
      <c r="E49">
        <f t="shared" si="1"/>
        <v>-0.99939999999999996</v>
      </c>
      <c r="F49" s="3">
        <f t="shared" si="2"/>
        <v>0</v>
      </c>
      <c r="G49">
        <f t="shared" si="3"/>
        <v>-0.84289999999999998</v>
      </c>
      <c r="N49" t="s">
        <v>8</v>
      </c>
      <c r="O49">
        <v>6.1000000000000004E-3</v>
      </c>
      <c r="P49">
        <v>8.9999999999999998E-4</v>
      </c>
      <c r="Q49">
        <v>0.34</v>
      </c>
    </row>
    <row r="50" spans="1:17" x14ac:dyDescent="0.25">
      <c r="A50">
        <v>29.536300000000001</v>
      </c>
      <c r="B50">
        <v>5.9999999999999995E-4</v>
      </c>
      <c r="C50">
        <v>0</v>
      </c>
      <c r="D50">
        <v>0.15809999999999999</v>
      </c>
      <c r="E50">
        <f t="shared" si="1"/>
        <v>-0.99939999999999996</v>
      </c>
      <c r="F50" s="3">
        <f t="shared" si="2"/>
        <v>0</v>
      </c>
      <c r="G50">
        <f t="shared" si="3"/>
        <v>-0.84189999999999998</v>
      </c>
      <c r="N50" t="s">
        <v>9</v>
      </c>
      <c r="O50">
        <v>2.9000000000000001E-2</v>
      </c>
      <c r="P50">
        <v>8.0999999999999996E-3</v>
      </c>
      <c r="Q50">
        <v>0.46350000000000002</v>
      </c>
    </row>
    <row r="51" spans="1:17" x14ac:dyDescent="0.25">
      <c r="A51">
        <v>29.732800000000001</v>
      </c>
      <c r="B51">
        <v>6.9999999999999999E-4</v>
      </c>
      <c r="C51">
        <v>0</v>
      </c>
      <c r="D51">
        <v>0.159</v>
      </c>
      <c r="E51">
        <f t="shared" si="1"/>
        <v>-0.99929999999999997</v>
      </c>
      <c r="F51" s="3">
        <f t="shared" si="2"/>
        <v>0</v>
      </c>
      <c r="G51">
        <f t="shared" si="3"/>
        <v>-0.84099999999999997</v>
      </c>
      <c r="N51" t="s">
        <v>10</v>
      </c>
      <c r="O51">
        <v>7.4399999999999994E-2</v>
      </c>
      <c r="P51">
        <v>2.9700000000000001E-2</v>
      </c>
      <c r="Q51">
        <v>0.51870000000000005</v>
      </c>
    </row>
    <row r="52" spans="1:17" x14ac:dyDescent="0.25">
      <c r="A52">
        <v>29.929300000000001</v>
      </c>
      <c r="B52">
        <v>6.9999999999999999E-4</v>
      </c>
      <c r="C52">
        <v>0</v>
      </c>
      <c r="D52">
        <v>0.16</v>
      </c>
      <c r="E52">
        <f t="shared" si="1"/>
        <v>-0.99929999999999997</v>
      </c>
      <c r="F52" s="3">
        <f t="shared" si="2"/>
        <v>0</v>
      </c>
      <c r="G52">
        <f t="shared" si="3"/>
        <v>-0.84</v>
      </c>
      <c r="N52" t="s">
        <v>11</v>
      </c>
      <c r="O52">
        <v>0.1113</v>
      </c>
      <c r="P52">
        <v>5.4399999999999997E-2</v>
      </c>
      <c r="Q52">
        <v>0.55779999999999996</v>
      </c>
    </row>
    <row r="53" spans="1:17" x14ac:dyDescent="0.25">
      <c r="A53">
        <v>30.125699999999998</v>
      </c>
      <c r="B53">
        <v>6.9999999999999999E-4</v>
      </c>
      <c r="C53">
        <v>0</v>
      </c>
      <c r="D53">
        <v>0.16120000000000001</v>
      </c>
      <c r="E53">
        <f t="shared" si="1"/>
        <v>-0.99929999999999997</v>
      </c>
      <c r="F53" s="3">
        <f t="shared" si="2"/>
        <v>0</v>
      </c>
      <c r="G53">
        <f t="shared" si="3"/>
        <v>-0.83879999999999999</v>
      </c>
      <c r="N53" t="s">
        <v>12</v>
      </c>
      <c r="O53">
        <v>0.125</v>
      </c>
      <c r="P53">
        <v>6.6400000000000001E-2</v>
      </c>
      <c r="Q53">
        <v>0.5786</v>
      </c>
    </row>
    <row r="54" spans="1:17" x14ac:dyDescent="0.25">
      <c r="A54">
        <v>30.322199999999999</v>
      </c>
      <c r="B54">
        <v>6.9999999999999999E-4</v>
      </c>
      <c r="C54">
        <v>0</v>
      </c>
      <c r="D54">
        <v>0.16250000000000001</v>
      </c>
      <c r="E54">
        <f t="shared" si="1"/>
        <v>-0.99929999999999997</v>
      </c>
      <c r="F54" s="3">
        <f t="shared" si="2"/>
        <v>0</v>
      </c>
      <c r="G54">
        <f t="shared" si="3"/>
        <v>-0.83750000000000002</v>
      </c>
      <c r="H54">
        <f>B54</f>
        <v>6.9999999999999999E-4</v>
      </c>
      <c r="I54">
        <f t="shared" ref="I54:J54" si="4">C54</f>
        <v>0</v>
      </c>
      <c r="J54">
        <f t="shared" si="4"/>
        <v>0.16250000000000001</v>
      </c>
    </row>
    <row r="55" spans="1:17" x14ac:dyDescent="0.25">
      <c r="A55">
        <v>30.518599999999999</v>
      </c>
      <c r="B55">
        <v>6.9999999999999999E-4</v>
      </c>
      <c r="C55">
        <v>0</v>
      </c>
      <c r="D55">
        <v>0.1638</v>
      </c>
      <c r="E55">
        <f t="shared" si="1"/>
        <v>-0.99929999999999997</v>
      </c>
      <c r="F55" s="3">
        <f t="shared" si="2"/>
        <v>0</v>
      </c>
      <c r="G55">
        <f t="shared" si="3"/>
        <v>-0.83620000000000005</v>
      </c>
    </row>
    <row r="56" spans="1:17" x14ac:dyDescent="0.25">
      <c r="A56">
        <v>30.7151</v>
      </c>
      <c r="B56">
        <v>6.9999999999999999E-4</v>
      </c>
      <c r="C56">
        <v>0</v>
      </c>
      <c r="D56">
        <v>0.1651</v>
      </c>
      <c r="E56">
        <f t="shared" si="1"/>
        <v>-0.99929999999999997</v>
      </c>
      <c r="F56" s="3">
        <f t="shared" si="2"/>
        <v>0</v>
      </c>
      <c r="G56">
        <f t="shared" si="3"/>
        <v>-0.83489999999999998</v>
      </c>
    </row>
    <row r="57" spans="1:17" x14ac:dyDescent="0.25">
      <c r="A57">
        <v>30.89</v>
      </c>
      <c r="B57">
        <v>6.9999999999999999E-4</v>
      </c>
      <c r="C57">
        <v>0</v>
      </c>
      <c r="D57">
        <v>0.1663</v>
      </c>
      <c r="E57">
        <f t="shared" si="1"/>
        <v>-0.99929999999999997</v>
      </c>
      <c r="F57" s="3">
        <f t="shared" si="2"/>
        <v>0</v>
      </c>
      <c r="G57">
        <f t="shared" si="3"/>
        <v>-0.8337</v>
      </c>
    </row>
    <row r="58" spans="1:17" x14ac:dyDescent="0.25">
      <c r="A58">
        <v>31.064900000000002</v>
      </c>
      <c r="B58">
        <v>6.9999999999999999E-4</v>
      </c>
      <c r="C58">
        <v>0</v>
      </c>
      <c r="D58">
        <v>0.16750000000000001</v>
      </c>
      <c r="E58">
        <f t="shared" si="1"/>
        <v>-0.99929999999999997</v>
      </c>
      <c r="F58" s="3">
        <f t="shared" si="2"/>
        <v>0</v>
      </c>
      <c r="G58">
        <f t="shared" si="3"/>
        <v>-0.83250000000000002</v>
      </c>
    </row>
    <row r="59" spans="1:17" x14ac:dyDescent="0.25">
      <c r="A59">
        <v>31.239799999999999</v>
      </c>
      <c r="B59">
        <v>8.0000000000000004E-4</v>
      </c>
      <c r="C59">
        <v>0</v>
      </c>
      <c r="D59">
        <v>0.1686</v>
      </c>
      <c r="E59">
        <f t="shared" si="1"/>
        <v>-0.99919999999999998</v>
      </c>
      <c r="F59" s="3">
        <f t="shared" si="2"/>
        <v>0</v>
      </c>
      <c r="G59">
        <f t="shared" si="3"/>
        <v>-0.83140000000000003</v>
      </c>
    </row>
    <row r="60" spans="1:17" x14ac:dyDescent="0.25">
      <c r="A60">
        <v>31.4148</v>
      </c>
      <c r="B60">
        <v>8.0000000000000004E-4</v>
      </c>
      <c r="C60">
        <v>0</v>
      </c>
      <c r="D60">
        <v>0.16980000000000001</v>
      </c>
      <c r="E60">
        <f t="shared" si="1"/>
        <v>-0.99919999999999998</v>
      </c>
      <c r="F60" s="3">
        <f t="shared" si="2"/>
        <v>0</v>
      </c>
      <c r="G60">
        <f t="shared" si="3"/>
        <v>-0.83020000000000005</v>
      </c>
    </row>
    <row r="61" spans="1:17" x14ac:dyDescent="0.25">
      <c r="A61">
        <v>32.289299999999997</v>
      </c>
      <c r="B61">
        <v>8.0000000000000004E-4</v>
      </c>
      <c r="C61">
        <v>0</v>
      </c>
      <c r="D61">
        <v>0.17549999999999999</v>
      </c>
      <c r="E61">
        <f t="shared" si="1"/>
        <v>-0.99919999999999998</v>
      </c>
      <c r="F61" s="3">
        <f t="shared" si="2"/>
        <v>0</v>
      </c>
      <c r="G61">
        <f t="shared" si="3"/>
        <v>-0.82450000000000001</v>
      </c>
    </row>
    <row r="62" spans="1:17" x14ac:dyDescent="0.25">
      <c r="A62">
        <v>33.163899999999998</v>
      </c>
      <c r="B62">
        <v>8.9999999999999998E-4</v>
      </c>
      <c r="C62">
        <v>1E-4</v>
      </c>
      <c r="D62">
        <v>0.1812</v>
      </c>
      <c r="E62">
        <f t="shared" si="1"/>
        <v>-0.99909999999999999</v>
      </c>
      <c r="F62" s="3">
        <f>(C62-MAX(0.0001,C61))/MAX(0.0001,C61)</f>
        <v>0</v>
      </c>
      <c r="G62">
        <f t="shared" si="3"/>
        <v>-0.81879999999999997</v>
      </c>
    </row>
    <row r="63" spans="1:17" x14ac:dyDescent="0.25">
      <c r="A63">
        <v>34.038400000000003</v>
      </c>
      <c r="B63">
        <v>8.9999999999999998E-4</v>
      </c>
      <c r="C63">
        <v>1E-4</v>
      </c>
      <c r="D63">
        <v>0.18690000000000001</v>
      </c>
      <c r="E63">
        <f t="shared" si="1"/>
        <v>-0.99909999999999999</v>
      </c>
      <c r="F63" s="3">
        <f t="shared" si="2"/>
        <v>0</v>
      </c>
      <c r="G63">
        <f t="shared" si="3"/>
        <v>-0.81309999999999993</v>
      </c>
    </row>
    <row r="64" spans="1:17" x14ac:dyDescent="0.25">
      <c r="A64">
        <v>34.912999999999997</v>
      </c>
      <c r="B64">
        <v>1E-3</v>
      </c>
      <c r="C64">
        <v>1E-4</v>
      </c>
      <c r="D64">
        <v>0.1925</v>
      </c>
      <c r="E64">
        <f t="shared" si="1"/>
        <v>-0.999</v>
      </c>
      <c r="F64" s="3">
        <f t="shared" si="2"/>
        <v>0</v>
      </c>
      <c r="G64">
        <f t="shared" si="3"/>
        <v>-0.8075</v>
      </c>
    </row>
    <row r="65" spans="1:7" x14ac:dyDescent="0.25">
      <c r="A65">
        <v>35.697699999999998</v>
      </c>
      <c r="B65">
        <v>1.1000000000000001E-3</v>
      </c>
      <c r="C65">
        <v>1E-4</v>
      </c>
      <c r="D65">
        <v>0.19750000000000001</v>
      </c>
      <c r="E65">
        <f t="shared" si="1"/>
        <v>-0.99890000000000001</v>
      </c>
      <c r="F65" s="3">
        <f t="shared" si="2"/>
        <v>0</v>
      </c>
      <c r="G65">
        <f t="shared" si="3"/>
        <v>-0.80249999999999999</v>
      </c>
    </row>
    <row r="66" spans="1:7" x14ac:dyDescent="0.25">
      <c r="A66">
        <v>36.482500000000002</v>
      </c>
      <c r="B66">
        <v>1.1000000000000001E-3</v>
      </c>
      <c r="C66">
        <v>1E-4</v>
      </c>
      <c r="D66">
        <v>0.2024</v>
      </c>
      <c r="E66">
        <f t="shared" si="1"/>
        <v>-0.99890000000000001</v>
      </c>
      <c r="F66" s="3">
        <f t="shared" si="2"/>
        <v>0</v>
      </c>
      <c r="G66">
        <f t="shared" si="3"/>
        <v>-0.79759999999999998</v>
      </c>
    </row>
    <row r="67" spans="1:7" x14ac:dyDescent="0.25">
      <c r="A67">
        <v>37.267299999999999</v>
      </c>
      <c r="B67">
        <v>1.1999999999999999E-3</v>
      </c>
      <c r="C67">
        <v>1E-4</v>
      </c>
      <c r="D67">
        <v>0.2074</v>
      </c>
      <c r="E67">
        <f t="shared" si="1"/>
        <v>-0.99880000000000002</v>
      </c>
      <c r="F67" s="3">
        <f t="shared" si="2"/>
        <v>0</v>
      </c>
      <c r="G67">
        <f t="shared" si="3"/>
        <v>-0.79259999999999997</v>
      </c>
    </row>
    <row r="68" spans="1:7" x14ac:dyDescent="0.25">
      <c r="A68">
        <v>38.052</v>
      </c>
      <c r="B68">
        <v>1.2999999999999999E-3</v>
      </c>
      <c r="C68">
        <v>1E-4</v>
      </c>
      <c r="D68">
        <v>0.21229999999999999</v>
      </c>
      <c r="E68">
        <f t="shared" si="1"/>
        <v>-0.99870000000000003</v>
      </c>
      <c r="F68" s="3">
        <f t="shared" si="2"/>
        <v>0</v>
      </c>
      <c r="G68">
        <f t="shared" si="3"/>
        <v>-0.78770000000000007</v>
      </c>
    </row>
    <row r="69" spans="1:7" x14ac:dyDescent="0.25">
      <c r="A69">
        <v>38.836799999999997</v>
      </c>
      <c r="B69">
        <v>1.4E-3</v>
      </c>
      <c r="C69">
        <v>1E-4</v>
      </c>
      <c r="D69">
        <v>0.2172</v>
      </c>
      <c r="E69">
        <f t="shared" si="1"/>
        <v>-0.99860000000000004</v>
      </c>
      <c r="F69" s="3">
        <f t="shared" si="2"/>
        <v>0</v>
      </c>
      <c r="G69">
        <f t="shared" si="3"/>
        <v>-0.78279999999999994</v>
      </c>
    </row>
    <row r="70" spans="1:7" x14ac:dyDescent="0.25">
      <c r="A70">
        <v>39.621499999999997</v>
      </c>
      <c r="B70">
        <v>1.5E-3</v>
      </c>
      <c r="C70">
        <v>1E-4</v>
      </c>
      <c r="D70">
        <v>0.222</v>
      </c>
      <c r="E70">
        <f t="shared" ref="E70:E133" si="5">B70-B69/B69</f>
        <v>-0.99850000000000005</v>
      </c>
      <c r="F70" s="3">
        <f t="shared" ref="F70:F133" si="6">(C70-C69)/MAX(0.000000001,C69)</f>
        <v>0</v>
      </c>
      <c r="G70">
        <f t="shared" ref="G70:G133" si="7">D70-D69/D69</f>
        <v>-0.77800000000000002</v>
      </c>
    </row>
    <row r="71" spans="1:7" x14ac:dyDescent="0.25">
      <c r="A71">
        <v>40.406300000000002</v>
      </c>
      <c r="B71">
        <v>1.6000000000000001E-3</v>
      </c>
      <c r="C71">
        <v>1E-4</v>
      </c>
      <c r="D71">
        <v>0.2268</v>
      </c>
      <c r="E71">
        <f t="shared" si="5"/>
        <v>-0.99839999999999995</v>
      </c>
      <c r="F71" s="3">
        <f t="shared" si="6"/>
        <v>0</v>
      </c>
      <c r="G71">
        <f t="shared" si="7"/>
        <v>-0.7732</v>
      </c>
    </row>
    <row r="72" spans="1:7" x14ac:dyDescent="0.25">
      <c r="A72">
        <v>41.191099999999999</v>
      </c>
      <c r="B72">
        <v>1.6000000000000001E-3</v>
      </c>
      <c r="C72">
        <v>1E-4</v>
      </c>
      <c r="D72">
        <v>0.2316</v>
      </c>
      <c r="E72">
        <f t="shared" si="5"/>
        <v>-0.99839999999999995</v>
      </c>
      <c r="F72" s="3">
        <f t="shared" si="6"/>
        <v>0</v>
      </c>
      <c r="G72">
        <f t="shared" si="7"/>
        <v>-0.76839999999999997</v>
      </c>
    </row>
    <row r="73" spans="1:7" x14ac:dyDescent="0.25">
      <c r="A73">
        <v>41.941299999999998</v>
      </c>
      <c r="B73">
        <v>1.6999999999999999E-3</v>
      </c>
      <c r="C73">
        <v>1E-4</v>
      </c>
      <c r="D73">
        <v>0.2361</v>
      </c>
      <c r="E73">
        <f t="shared" si="5"/>
        <v>-0.99829999999999997</v>
      </c>
      <c r="F73" s="3">
        <f t="shared" si="6"/>
        <v>0</v>
      </c>
      <c r="G73">
        <f t="shared" si="7"/>
        <v>-0.76390000000000002</v>
      </c>
    </row>
    <row r="74" spans="1:7" x14ac:dyDescent="0.25">
      <c r="A74">
        <v>42.691400000000002</v>
      </c>
      <c r="B74">
        <v>1.8E-3</v>
      </c>
      <c r="C74">
        <v>2.0000000000000001E-4</v>
      </c>
      <c r="D74">
        <v>0.24060000000000001</v>
      </c>
      <c r="E74">
        <f t="shared" si="5"/>
        <v>-0.99819999999999998</v>
      </c>
      <c r="F74" s="3">
        <f t="shared" si="6"/>
        <v>1</v>
      </c>
      <c r="G74">
        <f t="shared" si="7"/>
        <v>-0.75939999999999996</v>
      </c>
    </row>
    <row r="75" spans="1:7" x14ac:dyDescent="0.25">
      <c r="A75">
        <v>43.441600000000001</v>
      </c>
      <c r="B75">
        <v>1.9E-3</v>
      </c>
      <c r="C75">
        <v>2.0000000000000001E-4</v>
      </c>
      <c r="D75">
        <v>0.24510000000000001</v>
      </c>
      <c r="E75">
        <f t="shared" si="5"/>
        <v>-0.99809999999999999</v>
      </c>
      <c r="F75" s="3">
        <f t="shared" si="6"/>
        <v>0</v>
      </c>
      <c r="G75">
        <f t="shared" si="7"/>
        <v>-0.75490000000000002</v>
      </c>
    </row>
    <row r="76" spans="1:7" x14ac:dyDescent="0.25">
      <c r="A76">
        <v>44.191800000000001</v>
      </c>
      <c r="B76">
        <v>2.0999999999999999E-3</v>
      </c>
      <c r="C76">
        <v>2.0000000000000001E-4</v>
      </c>
      <c r="D76">
        <v>0.24959999999999999</v>
      </c>
      <c r="E76">
        <f t="shared" si="5"/>
        <v>-0.99790000000000001</v>
      </c>
      <c r="F76" s="3">
        <f t="shared" si="6"/>
        <v>0</v>
      </c>
      <c r="G76">
        <f t="shared" si="7"/>
        <v>-0.75039999999999996</v>
      </c>
    </row>
    <row r="77" spans="1:7" x14ac:dyDescent="0.25">
      <c r="A77">
        <v>44.881399999999999</v>
      </c>
      <c r="B77">
        <v>2.2000000000000001E-3</v>
      </c>
      <c r="C77">
        <v>2.0000000000000001E-4</v>
      </c>
      <c r="D77">
        <v>0.25359999999999999</v>
      </c>
      <c r="E77">
        <f t="shared" si="5"/>
        <v>-0.99780000000000002</v>
      </c>
      <c r="F77" s="3">
        <f t="shared" si="6"/>
        <v>0</v>
      </c>
      <c r="G77">
        <f t="shared" si="7"/>
        <v>-0.74639999999999995</v>
      </c>
    </row>
    <row r="78" spans="1:7" x14ac:dyDescent="0.25">
      <c r="A78">
        <v>45.570900000000002</v>
      </c>
      <c r="B78">
        <v>2.3E-3</v>
      </c>
      <c r="C78">
        <v>2.0000000000000001E-4</v>
      </c>
      <c r="D78">
        <v>0.25769999999999998</v>
      </c>
      <c r="E78">
        <f t="shared" si="5"/>
        <v>-0.99770000000000003</v>
      </c>
      <c r="F78" s="3">
        <f t="shared" si="6"/>
        <v>0</v>
      </c>
      <c r="G78">
        <f t="shared" si="7"/>
        <v>-0.74229999999999996</v>
      </c>
    </row>
    <row r="79" spans="1:7" x14ac:dyDescent="0.25">
      <c r="A79">
        <v>46.2605</v>
      </c>
      <c r="B79">
        <v>2.3999999999999998E-3</v>
      </c>
      <c r="C79">
        <v>2.0000000000000001E-4</v>
      </c>
      <c r="D79">
        <v>0.26169999999999999</v>
      </c>
      <c r="E79">
        <f t="shared" si="5"/>
        <v>-0.99760000000000004</v>
      </c>
      <c r="F79" s="3">
        <f t="shared" si="6"/>
        <v>0</v>
      </c>
      <c r="G79">
        <f t="shared" si="7"/>
        <v>-0.73829999999999996</v>
      </c>
    </row>
    <row r="80" spans="1:7" x14ac:dyDescent="0.25">
      <c r="A80">
        <v>46.950099999999999</v>
      </c>
      <c r="B80">
        <v>2.5000000000000001E-3</v>
      </c>
      <c r="C80">
        <v>2.0000000000000001E-4</v>
      </c>
      <c r="D80">
        <v>0.26569999999999999</v>
      </c>
      <c r="E80">
        <f t="shared" si="5"/>
        <v>-0.99750000000000005</v>
      </c>
      <c r="F80" s="3">
        <f t="shared" si="6"/>
        <v>0</v>
      </c>
      <c r="G80">
        <f t="shared" si="7"/>
        <v>-0.73429999999999995</v>
      </c>
    </row>
    <row r="81" spans="1:7" x14ac:dyDescent="0.25">
      <c r="A81">
        <v>47.624699999999997</v>
      </c>
      <c r="B81">
        <v>2.5999999999999999E-3</v>
      </c>
      <c r="C81">
        <v>2.9999999999999997E-4</v>
      </c>
      <c r="D81">
        <v>0.26960000000000001</v>
      </c>
      <c r="E81">
        <f t="shared" si="5"/>
        <v>-0.99739999999999995</v>
      </c>
      <c r="F81" s="3">
        <f t="shared" si="6"/>
        <v>0.49999999999999978</v>
      </c>
      <c r="G81">
        <f t="shared" si="7"/>
        <v>-0.73039999999999994</v>
      </c>
    </row>
    <row r="82" spans="1:7" x14ac:dyDescent="0.25">
      <c r="A82">
        <v>48.299300000000002</v>
      </c>
      <c r="B82">
        <v>2.8E-3</v>
      </c>
      <c r="C82">
        <v>2.9999999999999997E-4</v>
      </c>
      <c r="D82">
        <v>0.27339999999999998</v>
      </c>
      <c r="E82">
        <f t="shared" si="5"/>
        <v>-0.99719999999999998</v>
      </c>
      <c r="F82" s="3">
        <f t="shared" si="6"/>
        <v>0</v>
      </c>
      <c r="G82">
        <f t="shared" si="7"/>
        <v>-0.72660000000000002</v>
      </c>
    </row>
    <row r="83" spans="1:7" x14ac:dyDescent="0.25">
      <c r="A83">
        <v>48.9739</v>
      </c>
      <c r="B83">
        <v>2.8999999999999998E-3</v>
      </c>
      <c r="C83">
        <v>2.9999999999999997E-4</v>
      </c>
      <c r="D83">
        <v>0.27729999999999999</v>
      </c>
      <c r="E83">
        <f t="shared" si="5"/>
        <v>-0.99709999999999999</v>
      </c>
      <c r="F83" s="3">
        <f t="shared" si="6"/>
        <v>0</v>
      </c>
      <c r="G83">
        <f t="shared" si="7"/>
        <v>-0.72270000000000001</v>
      </c>
    </row>
    <row r="84" spans="1:7" x14ac:dyDescent="0.25">
      <c r="A84">
        <v>49.648600000000002</v>
      </c>
      <c r="B84">
        <v>3.0000000000000001E-3</v>
      </c>
      <c r="C84">
        <v>2.9999999999999997E-4</v>
      </c>
      <c r="D84">
        <v>0.28110000000000002</v>
      </c>
      <c r="E84">
        <f t="shared" si="5"/>
        <v>-0.997</v>
      </c>
      <c r="F84" s="3">
        <f t="shared" si="6"/>
        <v>0</v>
      </c>
      <c r="G84">
        <f t="shared" si="7"/>
        <v>-0.71889999999999998</v>
      </c>
    </row>
    <row r="85" spans="1:7" x14ac:dyDescent="0.25">
      <c r="A85">
        <v>50.3645</v>
      </c>
      <c r="B85">
        <v>3.2000000000000002E-3</v>
      </c>
      <c r="C85">
        <v>4.0000000000000002E-4</v>
      </c>
      <c r="D85">
        <v>0.28510000000000002</v>
      </c>
      <c r="E85">
        <f t="shared" si="5"/>
        <v>-0.99680000000000002</v>
      </c>
      <c r="F85" s="3">
        <f t="shared" si="6"/>
        <v>0.33333333333333354</v>
      </c>
      <c r="G85">
        <f t="shared" si="7"/>
        <v>-0.71489999999999998</v>
      </c>
    </row>
    <row r="86" spans="1:7" x14ac:dyDescent="0.25">
      <c r="A86">
        <v>51.080500000000001</v>
      </c>
      <c r="B86">
        <v>3.3E-3</v>
      </c>
      <c r="C86">
        <v>4.0000000000000002E-4</v>
      </c>
      <c r="D86">
        <v>0.28910000000000002</v>
      </c>
      <c r="E86">
        <f t="shared" si="5"/>
        <v>-0.99670000000000003</v>
      </c>
      <c r="F86" s="3">
        <f t="shared" si="6"/>
        <v>0</v>
      </c>
      <c r="G86">
        <f t="shared" si="7"/>
        <v>-0.71089999999999998</v>
      </c>
    </row>
    <row r="87" spans="1:7" x14ac:dyDescent="0.25">
      <c r="A87">
        <v>51.796500000000002</v>
      </c>
      <c r="B87">
        <v>3.5000000000000001E-3</v>
      </c>
      <c r="C87">
        <v>4.0000000000000002E-4</v>
      </c>
      <c r="D87">
        <v>0.29310000000000003</v>
      </c>
      <c r="E87">
        <f t="shared" si="5"/>
        <v>-0.99650000000000005</v>
      </c>
      <c r="F87" s="3">
        <f t="shared" si="6"/>
        <v>0</v>
      </c>
      <c r="G87">
        <f t="shared" si="7"/>
        <v>-0.70689999999999997</v>
      </c>
    </row>
    <row r="88" spans="1:7" x14ac:dyDescent="0.25">
      <c r="A88">
        <v>52.512500000000003</v>
      </c>
      <c r="B88">
        <v>3.7000000000000002E-3</v>
      </c>
      <c r="C88">
        <v>4.0000000000000002E-4</v>
      </c>
      <c r="D88">
        <v>0.29709999999999998</v>
      </c>
      <c r="E88">
        <f t="shared" si="5"/>
        <v>-0.99629999999999996</v>
      </c>
      <c r="F88" s="3">
        <f t="shared" si="6"/>
        <v>0</v>
      </c>
      <c r="G88">
        <f t="shared" si="7"/>
        <v>-0.70290000000000008</v>
      </c>
    </row>
    <row r="89" spans="1:7" x14ac:dyDescent="0.25">
      <c r="A89">
        <v>53.269599999999997</v>
      </c>
      <c r="B89">
        <v>3.8999999999999998E-3</v>
      </c>
      <c r="C89">
        <v>5.0000000000000001E-4</v>
      </c>
      <c r="D89">
        <v>0.30120000000000002</v>
      </c>
      <c r="E89">
        <f t="shared" si="5"/>
        <v>-0.99609999999999999</v>
      </c>
      <c r="F89" s="3">
        <f t="shared" si="6"/>
        <v>0.24999999999999997</v>
      </c>
      <c r="G89">
        <f t="shared" si="7"/>
        <v>-0.69879999999999998</v>
      </c>
    </row>
    <row r="90" spans="1:7" x14ac:dyDescent="0.25">
      <c r="A90">
        <v>54.026600000000002</v>
      </c>
      <c r="B90">
        <v>4.0000000000000001E-3</v>
      </c>
      <c r="C90">
        <v>5.0000000000000001E-4</v>
      </c>
      <c r="D90">
        <v>0.30530000000000002</v>
      </c>
      <c r="E90">
        <f t="shared" si="5"/>
        <v>-0.996</v>
      </c>
      <c r="F90" s="3">
        <f t="shared" si="6"/>
        <v>0</v>
      </c>
      <c r="G90">
        <f t="shared" si="7"/>
        <v>-0.69469999999999998</v>
      </c>
    </row>
    <row r="91" spans="1:7" x14ac:dyDescent="0.25">
      <c r="A91">
        <v>54.783700000000003</v>
      </c>
      <c r="B91">
        <v>4.3E-3</v>
      </c>
      <c r="C91">
        <v>5.0000000000000001E-4</v>
      </c>
      <c r="D91">
        <v>0.30940000000000001</v>
      </c>
      <c r="E91">
        <f t="shared" si="5"/>
        <v>-0.99570000000000003</v>
      </c>
      <c r="F91" s="3">
        <f t="shared" si="6"/>
        <v>0</v>
      </c>
      <c r="G91">
        <f t="shared" si="7"/>
        <v>-0.69059999999999999</v>
      </c>
    </row>
    <row r="92" spans="1:7" x14ac:dyDescent="0.25">
      <c r="A92">
        <v>55.540700000000001</v>
      </c>
      <c r="B92">
        <v>4.4999999999999997E-3</v>
      </c>
      <c r="C92">
        <v>5.9999999999999995E-4</v>
      </c>
      <c r="D92">
        <v>0.3135</v>
      </c>
      <c r="E92">
        <f t="shared" si="5"/>
        <v>-0.99550000000000005</v>
      </c>
      <c r="F92" s="3">
        <f t="shared" si="6"/>
        <v>0.19999999999999987</v>
      </c>
      <c r="G92">
        <f t="shared" si="7"/>
        <v>-0.6865</v>
      </c>
    </row>
    <row r="93" spans="1:7" x14ac:dyDescent="0.25">
      <c r="A93">
        <v>56.286700000000003</v>
      </c>
      <c r="B93">
        <v>4.7000000000000002E-3</v>
      </c>
      <c r="C93">
        <v>5.9999999999999995E-4</v>
      </c>
      <c r="D93">
        <v>0.3175</v>
      </c>
      <c r="E93">
        <f t="shared" si="5"/>
        <v>-0.99529999999999996</v>
      </c>
      <c r="F93" s="3">
        <f t="shared" si="6"/>
        <v>0</v>
      </c>
      <c r="G93">
        <f t="shared" si="7"/>
        <v>-0.6825</v>
      </c>
    </row>
    <row r="94" spans="1:7" x14ac:dyDescent="0.25">
      <c r="A94">
        <v>57.032600000000002</v>
      </c>
      <c r="B94">
        <v>4.8999999999999998E-3</v>
      </c>
      <c r="C94">
        <v>6.9999999999999999E-4</v>
      </c>
      <c r="D94">
        <v>0.32140000000000002</v>
      </c>
      <c r="E94">
        <f t="shared" si="5"/>
        <v>-0.99509999999999998</v>
      </c>
      <c r="F94" s="3">
        <f t="shared" si="6"/>
        <v>0.16666666666666677</v>
      </c>
      <c r="G94">
        <f t="shared" si="7"/>
        <v>-0.67859999999999998</v>
      </c>
    </row>
    <row r="95" spans="1:7" x14ac:dyDescent="0.25">
      <c r="A95">
        <v>57.778599999999997</v>
      </c>
      <c r="B95">
        <v>5.1000000000000004E-3</v>
      </c>
      <c r="C95">
        <v>6.9999999999999999E-4</v>
      </c>
      <c r="D95">
        <v>0.32540000000000002</v>
      </c>
      <c r="E95">
        <f t="shared" si="5"/>
        <v>-0.99490000000000001</v>
      </c>
      <c r="F95" s="3">
        <f t="shared" si="6"/>
        <v>0</v>
      </c>
      <c r="G95">
        <f t="shared" si="7"/>
        <v>-0.67459999999999998</v>
      </c>
    </row>
    <row r="96" spans="1:7" x14ac:dyDescent="0.25">
      <c r="A96">
        <v>58.524500000000003</v>
      </c>
      <c r="B96">
        <v>5.4000000000000003E-3</v>
      </c>
      <c r="C96">
        <v>8.0000000000000004E-4</v>
      </c>
      <c r="D96">
        <v>0.32929999999999998</v>
      </c>
      <c r="E96">
        <f t="shared" si="5"/>
        <v>-0.99460000000000004</v>
      </c>
      <c r="F96" s="3">
        <f t="shared" si="6"/>
        <v>0.14285714285714293</v>
      </c>
      <c r="G96">
        <f t="shared" si="7"/>
        <v>-0.67070000000000007</v>
      </c>
    </row>
    <row r="97" spans="1:10" x14ac:dyDescent="0.25">
      <c r="A97">
        <v>59.228900000000003</v>
      </c>
      <c r="B97">
        <v>5.5999999999999999E-3</v>
      </c>
      <c r="C97">
        <v>8.0000000000000004E-4</v>
      </c>
      <c r="D97">
        <v>0.33300000000000002</v>
      </c>
      <c r="E97">
        <f t="shared" si="5"/>
        <v>-0.99439999999999995</v>
      </c>
      <c r="F97" s="3">
        <f t="shared" si="6"/>
        <v>0</v>
      </c>
      <c r="G97">
        <f t="shared" si="7"/>
        <v>-0.66700000000000004</v>
      </c>
    </row>
    <row r="98" spans="1:10" x14ac:dyDescent="0.25">
      <c r="A98">
        <v>59.933199999999999</v>
      </c>
      <c r="B98">
        <v>5.8999999999999999E-3</v>
      </c>
      <c r="C98">
        <v>8.9999999999999998E-4</v>
      </c>
      <c r="D98">
        <v>0.33660000000000001</v>
      </c>
      <c r="E98">
        <f t="shared" si="5"/>
        <v>-0.99409999999999998</v>
      </c>
      <c r="F98" s="3">
        <f t="shared" si="6"/>
        <v>0.12499999999999992</v>
      </c>
      <c r="G98">
        <f t="shared" si="7"/>
        <v>-0.66339999999999999</v>
      </c>
    </row>
    <row r="99" spans="1:10" x14ac:dyDescent="0.25">
      <c r="A99">
        <v>60.637599999999999</v>
      </c>
      <c r="B99">
        <v>6.1000000000000004E-3</v>
      </c>
      <c r="C99">
        <v>8.9999999999999998E-4</v>
      </c>
      <c r="D99">
        <v>0.34</v>
      </c>
      <c r="E99">
        <f t="shared" si="5"/>
        <v>-0.99390000000000001</v>
      </c>
      <c r="F99" s="3">
        <f t="shared" si="6"/>
        <v>0</v>
      </c>
      <c r="G99">
        <f t="shared" si="7"/>
        <v>-0.65999999999999992</v>
      </c>
      <c r="H99">
        <f>B99</f>
        <v>6.1000000000000004E-3</v>
      </c>
      <c r="I99">
        <f t="shared" ref="I99:J99" si="8">C99</f>
        <v>8.9999999999999998E-4</v>
      </c>
      <c r="J99">
        <f t="shared" si="8"/>
        <v>0.34</v>
      </c>
    </row>
    <row r="100" spans="1:10" x14ac:dyDescent="0.25">
      <c r="A100">
        <v>61.341999999999999</v>
      </c>
      <c r="B100">
        <v>6.4000000000000003E-3</v>
      </c>
      <c r="C100">
        <v>1E-3</v>
      </c>
      <c r="D100">
        <v>0.34329999999999999</v>
      </c>
      <c r="E100">
        <f t="shared" si="5"/>
        <v>-0.99360000000000004</v>
      </c>
      <c r="F100" s="3">
        <f t="shared" si="6"/>
        <v>0.11111111111111116</v>
      </c>
      <c r="G100">
        <f t="shared" si="7"/>
        <v>-0.65670000000000006</v>
      </c>
    </row>
    <row r="101" spans="1:10" x14ac:dyDescent="0.25">
      <c r="A101">
        <v>61.958799999999997</v>
      </c>
      <c r="B101">
        <v>6.7000000000000002E-3</v>
      </c>
      <c r="C101">
        <v>1E-3</v>
      </c>
      <c r="D101">
        <v>0.34620000000000001</v>
      </c>
      <c r="E101">
        <f t="shared" si="5"/>
        <v>-0.99329999999999996</v>
      </c>
      <c r="F101" s="3">
        <f t="shared" si="6"/>
        <v>0</v>
      </c>
      <c r="G101">
        <f t="shared" si="7"/>
        <v>-0.65379999999999994</v>
      </c>
    </row>
    <row r="102" spans="1:10" x14ac:dyDescent="0.25">
      <c r="A102">
        <v>62.575699999999998</v>
      </c>
      <c r="B102">
        <v>6.8999999999999999E-3</v>
      </c>
      <c r="C102">
        <v>1.1000000000000001E-3</v>
      </c>
      <c r="D102">
        <v>0.34910000000000002</v>
      </c>
      <c r="E102">
        <f t="shared" si="5"/>
        <v>-0.99309999999999998</v>
      </c>
      <c r="F102" s="3">
        <f t="shared" si="6"/>
        <v>0.10000000000000005</v>
      </c>
      <c r="G102">
        <f t="shared" si="7"/>
        <v>-0.65090000000000003</v>
      </c>
    </row>
    <row r="103" spans="1:10" x14ac:dyDescent="0.25">
      <c r="A103">
        <v>63.192500000000003</v>
      </c>
      <c r="B103">
        <v>7.1999999999999998E-3</v>
      </c>
      <c r="C103">
        <v>1.1000000000000001E-3</v>
      </c>
      <c r="D103">
        <v>0.35199999999999998</v>
      </c>
      <c r="E103">
        <f t="shared" si="5"/>
        <v>-0.99280000000000002</v>
      </c>
      <c r="F103" s="3">
        <f t="shared" si="6"/>
        <v>0</v>
      </c>
      <c r="G103">
        <f t="shared" si="7"/>
        <v>-0.64800000000000002</v>
      </c>
    </row>
    <row r="104" spans="1:10" x14ac:dyDescent="0.25">
      <c r="A104">
        <v>63.8093</v>
      </c>
      <c r="B104">
        <v>7.4000000000000003E-3</v>
      </c>
      <c r="C104">
        <v>1.1999999999999999E-3</v>
      </c>
      <c r="D104">
        <v>0.3548</v>
      </c>
      <c r="E104">
        <f t="shared" si="5"/>
        <v>-0.99260000000000004</v>
      </c>
      <c r="F104" s="3">
        <f t="shared" si="6"/>
        <v>9.0909090909090745E-2</v>
      </c>
      <c r="G104">
        <f t="shared" si="7"/>
        <v>-0.6452</v>
      </c>
    </row>
    <row r="105" spans="1:10" x14ac:dyDescent="0.25">
      <c r="A105">
        <v>64.519199999999998</v>
      </c>
      <c r="B105">
        <v>7.7999999999999996E-3</v>
      </c>
      <c r="C105">
        <v>1.2999999999999999E-3</v>
      </c>
      <c r="D105">
        <v>0.35809999999999997</v>
      </c>
      <c r="E105">
        <f t="shared" si="5"/>
        <v>-0.99219999999999997</v>
      </c>
      <c r="F105" s="3">
        <f t="shared" si="6"/>
        <v>8.3333333333333384E-2</v>
      </c>
      <c r="G105">
        <f t="shared" si="7"/>
        <v>-0.64190000000000003</v>
      </c>
    </row>
    <row r="106" spans="1:10" x14ac:dyDescent="0.25">
      <c r="A106">
        <v>65.229100000000003</v>
      </c>
      <c r="B106">
        <v>8.0999999999999996E-3</v>
      </c>
      <c r="C106">
        <v>1.2999999999999999E-3</v>
      </c>
      <c r="D106">
        <v>0.36130000000000001</v>
      </c>
      <c r="E106">
        <f t="shared" si="5"/>
        <v>-0.9919</v>
      </c>
      <c r="F106" s="3">
        <f t="shared" si="6"/>
        <v>0</v>
      </c>
      <c r="G106">
        <f t="shared" si="7"/>
        <v>-0.63870000000000005</v>
      </c>
    </row>
    <row r="107" spans="1:10" x14ac:dyDescent="0.25">
      <c r="A107">
        <v>65.938999999999993</v>
      </c>
      <c r="B107">
        <v>8.3999999999999995E-3</v>
      </c>
      <c r="C107">
        <v>1.4E-3</v>
      </c>
      <c r="D107">
        <v>0.36449999999999999</v>
      </c>
      <c r="E107">
        <f t="shared" si="5"/>
        <v>-0.99160000000000004</v>
      </c>
      <c r="F107" s="3">
        <f t="shared" si="6"/>
        <v>7.6923076923076955E-2</v>
      </c>
      <c r="G107">
        <f t="shared" si="7"/>
        <v>-0.63549999999999995</v>
      </c>
    </row>
    <row r="108" spans="1:10" x14ac:dyDescent="0.25">
      <c r="A108">
        <v>66.648899999999998</v>
      </c>
      <c r="B108">
        <v>8.8000000000000005E-3</v>
      </c>
      <c r="C108">
        <v>1.5E-3</v>
      </c>
      <c r="D108">
        <v>0.36770000000000003</v>
      </c>
      <c r="E108">
        <f t="shared" si="5"/>
        <v>-0.99119999999999997</v>
      </c>
      <c r="F108" s="3">
        <f t="shared" si="6"/>
        <v>7.1428571428571466E-2</v>
      </c>
      <c r="G108">
        <f t="shared" si="7"/>
        <v>-0.63229999999999997</v>
      </c>
    </row>
    <row r="109" spans="1:10" x14ac:dyDescent="0.25">
      <c r="A109">
        <v>67.417100000000005</v>
      </c>
      <c r="B109">
        <v>9.1999999999999998E-3</v>
      </c>
      <c r="C109">
        <v>1.6000000000000001E-3</v>
      </c>
      <c r="D109">
        <v>0.37109999999999999</v>
      </c>
      <c r="E109">
        <f t="shared" si="5"/>
        <v>-0.99080000000000001</v>
      </c>
      <c r="F109" s="3">
        <f t="shared" si="6"/>
        <v>6.6666666666666693E-2</v>
      </c>
      <c r="G109">
        <f t="shared" si="7"/>
        <v>-0.62890000000000001</v>
      </c>
    </row>
    <row r="110" spans="1:10" x14ac:dyDescent="0.25">
      <c r="A110">
        <v>68.185299999999998</v>
      </c>
      <c r="B110">
        <v>9.5999999999999992E-3</v>
      </c>
      <c r="C110">
        <v>1.6999999999999999E-3</v>
      </c>
      <c r="D110">
        <v>0.3745</v>
      </c>
      <c r="E110">
        <f t="shared" si="5"/>
        <v>-0.99039999999999995</v>
      </c>
      <c r="F110" s="3">
        <f t="shared" si="6"/>
        <v>6.2499999999999889E-2</v>
      </c>
      <c r="G110">
        <f t="shared" si="7"/>
        <v>-0.62549999999999994</v>
      </c>
    </row>
    <row r="111" spans="1:10" x14ac:dyDescent="0.25">
      <c r="A111">
        <v>68.953500000000005</v>
      </c>
      <c r="B111">
        <v>0.01</v>
      </c>
      <c r="C111">
        <v>1.8E-3</v>
      </c>
      <c r="D111">
        <v>0.37790000000000001</v>
      </c>
      <c r="E111">
        <f t="shared" si="5"/>
        <v>-0.99</v>
      </c>
      <c r="F111" s="3">
        <f t="shared" si="6"/>
        <v>5.8823529411764733E-2</v>
      </c>
      <c r="G111">
        <f t="shared" si="7"/>
        <v>-0.62209999999999999</v>
      </c>
    </row>
    <row r="112" spans="1:10" x14ac:dyDescent="0.25">
      <c r="A112">
        <v>69.721699999999998</v>
      </c>
      <c r="B112">
        <v>1.04E-2</v>
      </c>
      <c r="C112">
        <v>1.9E-3</v>
      </c>
      <c r="D112">
        <v>0.38129999999999997</v>
      </c>
      <c r="E112">
        <f t="shared" si="5"/>
        <v>-0.98960000000000004</v>
      </c>
      <c r="F112" s="3">
        <f t="shared" si="6"/>
        <v>5.555555555555558E-2</v>
      </c>
      <c r="G112">
        <f t="shared" si="7"/>
        <v>-0.61870000000000003</v>
      </c>
    </row>
    <row r="113" spans="1:7" x14ac:dyDescent="0.25">
      <c r="A113">
        <v>70.454999999999998</v>
      </c>
      <c r="B113">
        <v>1.09E-2</v>
      </c>
      <c r="C113">
        <v>2E-3</v>
      </c>
      <c r="D113">
        <v>0.38440000000000002</v>
      </c>
      <c r="E113">
        <f t="shared" si="5"/>
        <v>-0.98909999999999998</v>
      </c>
      <c r="F113" s="3">
        <f t="shared" si="6"/>
        <v>5.2631578947368446E-2</v>
      </c>
      <c r="G113">
        <f t="shared" si="7"/>
        <v>-0.61559999999999993</v>
      </c>
    </row>
    <row r="114" spans="1:7" x14ac:dyDescent="0.25">
      <c r="A114">
        <v>71.188400000000001</v>
      </c>
      <c r="B114">
        <v>1.1299999999999999E-2</v>
      </c>
      <c r="C114">
        <v>2.2000000000000001E-3</v>
      </c>
      <c r="D114">
        <v>0.3876</v>
      </c>
      <c r="E114">
        <f t="shared" si="5"/>
        <v>-0.98870000000000002</v>
      </c>
      <c r="F114" s="3">
        <f t="shared" si="6"/>
        <v>0.10000000000000005</v>
      </c>
      <c r="G114">
        <f t="shared" si="7"/>
        <v>-0.61240000000000006</v>
      </c>
    </row>
    <row r="115" spans="1:7" x14ac:dyDescent="0.25">
      <c r="A115">
        <v>71.921700000000001</v>
      </c>
      <c r="B115">
        <v>1.18E-2</v>
      </c>
      <c r="C115">
        <v>2.3E-3</v>
      </c>
      <c r="D115">
        <v>0.39069999999999999</v>
      </c>
      <c r="E115">
        <f t="shared" si="5"/>
        <v>-0.98819999999999997</v>
      </c>
      <c r="F115" s="3">
        <f t="shared" si="6"/>
        <v>4.5454545454545373E-2</v>
      </c>
      <c r="G115">
        <f t="shared" si="7"/>
        <v>-0.60929999999999995</v>
      </c>
    </row>
    <row r="116" spans="1:7" x14ac:dyDescent="0.25">
      <c r="A116">
        <v>72.655100000000004</v>
      </c>
      <c r="B116">
        <v>1.2200000000000001E-2</v>
      </c>
      <c r="C116">
        <v>2.3999999999999998E-3</v>
      </c>
      <c r="D116">
        <v>0.39379999999999998</v>
      </c>
      <c r="E116">
        <f t="shared" si="5"/>
        <v>-0.98780000000000001</v>
      </c>
      <c r="F116" s="3">
        <f t="shared" si="6"/>
        <v>4.3478260869565147E-2</v>
      </c>
      <c r="G116">
        <f t="shared" si="7"/>
        <v>-0.60620000000000007</v>
      </c>
    </row>
    <row r="117" spans="1:7" x14ac:dyDescent="0.25">
      <c r="A117">
        <v>73.334400000000002</v>
      </c>
      <c r="B117">
        <v>1.2699999999999999E-2</v>
      </c>
      <c r="C117">
        <v>2.5000000000000001E-3</v>
      </c>
      <c r="D117">
        <v>0.3967</v>
      </c>
      <c r="E117">
        <f t="shared" si="5"/>
        <v>-0.98729999999999996</v>
      </c>
      <c r="F117" s="3">
        <f t="shared" si="6"/>
        <v>4.1666666666666782E-2</v>
      </c>
      <c r="G117">
        <f t="shared" si="7"/>
        <v>-0.60329999999999995</v>
      </c>
    </row>
    <row r="118" spans="1:7" x14ac:dyDescent="0.25">
      <c r="A118">
        <v>74.0137</v>
      </c>
      <c r="B118">
        <v>1.3100000000000001E-2</v>
      </c>
      <c r="C118">
        <v>2.7000000000000001E-3</v>
      </c>
      <c r="D118">
        <v>0.39950000000000002</v>
      </c>
      <c r="E118">
        <f t="shared" si="5"/>
        <v>-0.9869</v>
      </c>
      <c r="F118" s="3">
        <f t="shared" si="6"/>
        <v>8.0000000000000029E-2</v>
      </c>
      <c r="G118">
        <f t="shared" si="7"/>
        <v>-0.60050000000000003</v>
      </c>
    </row>
    <row r="119" spans="1:7" x14ac:dyDescent="0.25">
      <c r="A119">
        <v>74.692999999999998</v>
      </c>
      <c r="B119">
        <v>1.3599999999999999E-2</v>
      </c>
      <c r="C119">
        <v>2.8E-3</v>
      </c>
      <c r="D119">
        <v>0.40239999999999998</v>
      </c>
      <c r="E119">
        <f t="shared" si="5"/>
        <v>-0.98640000000000005</v>
      </c>
      <c r="F119" s="3">
        <f t="shared" si="6"/>
        <v>3.7037037037036973E-2</v>
      </c>
      <c r="G119">
        <f t="shared" si="7"/>
        <v>-0.59760000000000002</v>
      </c>
    </row>
    <row r="120" spans="1:7" x14ac:dyDescent="0.25">
      <c r="A120">
        <v>75.372399999999999</v>
      </c>
      <c r="B120">
        <v>1.41E-2</v>
      </c>
      <c r="C120">
        <v>2.8999999999999998E-3</v>
      </c>
      <c r="D120">
        <v>0.4052</v>
      </c>
      <c r="E120">
        <f t="shared" si="5"/>
        <v>-0.9859</v>
      </c>
      <c r="F120" s="3">
        <f t="shared" si="6"/>
        <v>3.5714285714285657E-2</v>
      </c>
      <c r="G120">
        <f t="shared" si="7"/>
        <v>-0.5948</v>
      </c>
    </row>
    <row r="121" spans="1:7" x14ac:dyDescent="0.25">
      <c r="A121">
        <v>76.040000000000006</v>
      </c>
      <c r="B121">
        <v>1.46E-2</v>
      </c>
      <c r="C121">
        <v>3.0999999999999999E-3</v>
      </c>
      <c r="D121">
        <v>0.40789999999999998</v>
      </c>
      <c r="E121">
        <f t="shared" si="5"/>
        <v>-0.98540000000000005</v>
      </c>
      <c r="F121" s="3">
        <f t="shared" si="6"/>
        <v>6.8965517241379351E-2</v>
      </c>
      <c r="G121">
        <f t="shared" si="7"/>
        <v>-0.59210000000000007</v>
      </c>
    </row>
    <row r="122" spans="1:7" x14ac:dyDescent="0.25">
      <c r="A122">
        <v>76.707599999999999</v>
      </c>
      <c r="B122">
        <v>1.5100000000000001E-2</v>
      </c>
      <c r="C122">
        <v>3.2000000000000002E-3</v>
      </c>
      <c r="D122">
        <v>0.41060000000000002</v>
      </c>
      <c r="E122">
        <f t="shared" si="5"/>
        <v>-0.9849</v>
      </c>
      <c r="F122" s="3">
        <f t="shared" si="6"/>
        <v>3.2258064516129115E-2</v>
      </c>
      <c r="G122">
        <f t="shared" si="7"/>
        <v>-0.58939999999999992</v>
      </c>
    </row>
    <row r="123" spans="1:7" x14ac:dyDescent="0.25">
      <c r="A123">
        <v>77.375200000000007</v>
      </c>
      <c r="B123">
        <v>1.5599999999999999E-2</v>
      </c>
      <c r="C123">
        <v>3.3999999999999998E-3</v>
      </c>
      <c r="D123">
        <v>0.4133</v>
      </c>
      <c r="E123">
        <f t="shared" si="5"/>
        <v>-0.98440000000000005</v>
      </c>
      <c r="F123" s="3">
        <f t="shared" si="6"/>
        <v>6.2499999999999889E-2</v>
      </c>
      <c r="G123">
        <f t="shared" si="7"/>
        <v>-0.5867</v>
      </c>
    </row>
    <row r="124" spans="1:7" x14ac:dyDescent="0.25">
      <c r="A124">
        <v>78.0428</v>
      </c>
      <c r="B124">
        <v>1.61E-2</v>
      </c>
      <c r="C124">
        <v>3.5999999999999999E-3</v>
      </c>
      <c r="D124">
        <v>0.41599999999999998</v>
      </c>
      <c r="E124">
        <f t="shared" si="5"/>
        <v>-0.9839</v>
      </c>
      <c r="F124" s="3">
        <f t="shared" si="6"/>
        <v>5.8823529411764733E-2</v>
      </c>
      <c r="G124">
        <f t="shared" si="7"/>
        <v>-0.58400000000000007</v>
      </c>
    </row>
    <row r="125" spans="1:7" x14ac:dyDescent="0.25">
      <c r="A125">
        <v>78.730099999999993</v>
      </c>
      <c r="B125">
        <v>1.67E-2</v>
      </c>
      <c r="C125">
        <v>3.7000000000000002E-3</v>
      </c>
      <c r="D125">
        <v>0.41870000000000002</v>
      </c>
      <c r="E125">
        <f t="shared" si="5"/>
        <v>-0.98329999999999995</v>
      </c>
      <c r="F125" s="3">
        <f t="shared" si="6"/>
        <v>2.7777777777777853E-2</v>
      </c>
      <c r="G125">
        <f t="shared" si="7"/>
        <v>-0.58129999999999993</v>
      </c>
    </row>
    <row r="126" spans="1:7" x14ac:dyDescent="0.25">
      <c r="A126">
        <v>79.417400000000001</v>
      </c>
      <c r="B126">
        <v>1.7299999999999999E-2</v>
      </c>
      <c r="C126">
        <v>3.8999999999999998E-3</v>
      </c>
      <c r="D126">
        <v>0.42149999999999999</v>
      </c>
      <c r="E126">
        <f t="shared" si="5"/>
        <v>-0.98270000000000002</v>
      </c>
      <c r="F126" s="3">
        <f t="shared" si="6"/>
        <v>5.405405405405396E-2</v>
      </c>
      <c r="G126">
        <f t="shared" si="7"/>
        <v>-0.57850000000000001</v>
      </c>
    </row>
    <row r="127" spans="1:7" x14ac:dyDescent="0.25">
      <c r="A127">
        <v>80.104600000000005</v>
      </c>
      <c r="B127">
        <v>1.7899999999999999E-2</v>
      </c>
      <c r="C127">
        <v>4.1000000000000003E-3</v>
      </c>
      <c r="D127">
        <v>0.42420000000000002</v>
      </c>
      <c r="E127">
        <f t="shared" si="5"/>
        <v>-0.98209999999999997</v>
      </c>
      <c r="F127" s="3">
        <f t="shared" si="6"/>
        <v>5.1282051282051419E-2</v>
      </c>
      <c r="G127">
        <f t="shared" si="7"/>
        <v>-0.57579999999999998</v>
      </c>
    </row>
    <row r="128" spans="1:7" x14ac:dyDescent="0.25">
      <c r="A128">
        <v>80.791899999999998</v>
      </c>
      <c r="B128">
        <v>1.8499999999999999E-2</v>
      </c>
      <c r="C128">
        <v>4.3E-3</v>
      </c>
      <c r="D128">
        <v>0.42680000000000001</v>
      </c>
      <c r="E128">
        <f t="shared" si="5"/>
        <v>-0.98150000000000004</v>
      </c>
      <c r="F128" s="3">
        <f t="shared" si="6"/>
        <v>4.878048780487796E-2</v>
      </c>
      <c r="G128">
        <f t="shared" si="7"/>
        <v>-0.57319999999999993</v>
      </c>
    </row>
    <row r="129" spans="1:10" x14ac:dyDescent="0.25">
      <c r="A129">
        <v>81.486500000000007</v>
      </c>
      <c r="B129">
        <v>1.9099999999999999E-2</v>
      </c>
      <c r="C129">
        <v>4.4999999999999997E-3</v>
      </c>
      <c r="D129">
        <v>0.42949999999999999</v>
      </c>
      <c r="E129">
        <f t="shared" si="5"/>
        <v>-0.98089999999999999</v>
      </c>
      <c r="F129" s="3">
        <f t="shared" si="6"/>
        <v>4.6511627906976667E-2</v>
      </c>
      <c r="G129">
        <f t="shared" si="7"/>
        <v>-0.57050000000000001</v>
      </c>
    </row>
    <row r="130" spans="1:10" x14ac:dyDescent="0.25">
      <c r="A130">
        <v>82.180999999999997</v>
      </c>
      <c r="B130">
        <v>1.9699999999999999E-2</v>
      </c>
      <c r="C130">
        <v>4.7000000000000002E-3</v>
      </c>
      <c r="D130">
        <v>0.43219999999999997</v>
      </c>
      <c r="E130">
        <f t="shared" si="5"/>
        <v>-0.98029999999999995</v>
      </c>
      <c r="F130" s="3">
        <f t="shared" si="6"/>
        <v>4.4444444444444564E-2</v>
      </c>
      <c r="G130">
        <f t="shared" si="7"/>
        <v>-0.56780000000000008</v>
      </c>
    </row>
    <row r="131" spans="1:10" x14ac:dyDescent="0.25">
      <c r="A131">
        <v>82.875600000000006</v>
      </c>
      <c r="B131">
        <v>2.0400000000000001E-2</v>
      </c>
      <c r="C131">
        <v>4.8999999999999998E-3</v>
      </c>
      <c r="D131">
        <v>0.43480000000000002</v>
      </c>
      <c r="E131">
        <f t="shared" si="5"/>
        <v>-0.97960000000000003</v>
      </c>
      <c r="F131" s="3">
        <f t="shared" si="6"/>
        <v>4.2553191489361625E-2</v>
      </c>
      <c r="G131">
        <f t="shared" si="7"/>
        <v>-0.56519999999999992</v>
      </c>
    </row>
    <row r="132" spans="1:10" x14ac:dyDescent="0.25">
      <c r="A132">
        <v>83.5702</v>
      </c>
      <c r="B132">
        <v>2.1000000000000001E-2</v>
      </c>
      <c r="C132">
        <v>5.1000000000000004E-3</v>
      </c>
      <c r="D132">
        <v>0.4375</v>
      </c>
      <c r="E132">
        <f t="shared" si="5"/>
        <v>-0.97899999999999998</v>
      </c>
      <c r="F132" s="3">
        <f t="shared" si="6"/>
        <v>4.0816326530612353E-2</v>
      </c>
      <c r="G132">
        <f t="shared" si="7"/>
        <v>-0.5625</v>
      </c>
    </row>
    <row r="133" spans="1:10" x14ac:dyDescent="0.25">
      <c r="A133">
        <v>84.252700000000004</v>
      </c>
      <c r="B133">
        <v>2.1700000000000001E-2</v>
      </c>
      <c r="C133">
        <v>5.4000000000000003E-3</v>
      </c>
      <c r="D133">
        <v>0.44</v>
      </c>
      <c r="E133">
        <f t="shared" si="5"/>
        <v>-0.97829999999999995</v>
      </c>
      <c r="F133" s="3">
        <f t="shared" si="6"/>
        <v>5.8823529411764684E-2</v>
      </c>
      <c r="G133">
        <f t="shared" si="7"/>
        <v>-0.56000000000000005</v>
      </c>
    </row>
    <row r="134" spans="1:10" x14ac:dyDescent="0.25">
      <c r="A134">
        <v>84.935100000000006</v>
      </c>
      <c r="B134">
        <v>2.24E-2</v>
      </c>
      <c r="C134">
        <v>5.5999999999999999E-3</v>
      </c>
      <c r="D134">
        <v>0.44259999999999999</v>
      </c>
      <c r="E134">
        <f t="shared" ref="E134:E197" si="9">B134-B133/B133</f>
        <v>-0.97760000000000002</v>
      </c>
      <c r="F134" s="3">
        <f t="shared" ref="F134:F197" si="10">(C134-C133)/MAX(0.000000001,C133)</f>
        <v>3.7037037037036973E-2</v>
      </c>
      <c r="G134">
        <f t="shared" ref="G134:G197" si="11">D134-D133/D133</f>
        <v>-0.55740000000000001</v>
      </c>
    </row>
    <row r="135" spans="1:10" x14ac:dyDescent="0.25">
      <c r="A135">
        <v>85.617599999999996</v>
      </c>
      <c r="B135">
        <v>2.3099999999999999E-2</v>
      </c>
      <c r="C135">
        <v>5.8999999999999999E-3</v>
      </c>
      <c r="D135">
        <v>0.4451</v>
      </c>
      <c r="E135">
        <f t="shared" si="9"/>
        <v>-0.97689999999999999</v>
      </c>
      <c r="F135" s="3">
        <f t="shared" si="10"/>
        <v>5.3571428571428555E-2</v>
      </c>
      <c r="G135">
        <f t="shared" si="11"/>
        <v>-0.55489999999999995</v>
      </c>
    </row>
    <row r="136" spans="1:10" x14ac:dyDescent="0.25">
      <c r="A136">
        <v>86.3</v>
      </c>
      <c r="B136">
        <v>2.3800000000000002E-2</v>
      </c>
      <c r="C136">
        <v>6.1000000000000004E-3</v>
      </c>
      <c r="D136">
        <v>0.4476</v>
      </c>
      <c r="E136">
        <f t="shared" si="9"/>
        <v>-0.97619999999999996</v>
      </c>
      <c r="F136" s="3">
        <f t="shared" si="10"/>
        <v>3.3898305084745853E-2</v>
      </c>
      <c r="G136">
        <f t="shared" si="11"/>
        <v>-0.5524</v>
      </c>
    </row>
    <row r="137" spans="1:10" x14ac:dyDescent="0.25">
      <c r="A137">
        <v>86.97</v>
      </c>
      <c r="B137">
        <v>2.4500000000000001E-2</v>
      </c>
      <c r="C137">
        <v>6.4000000000000003E-3</v>
      </c>
      <c r="D137">
        <v>0.45</v>
      </c>
      <c r="E137">
        <f t="shared" si="9"/>
        <v>-0.97550000000000003</v>
      </c>
      <c r="F137" s="3">
        <f t="shared" si="10"/>
        <v>4.9180327868852444E-2</v>
      </c>
      <c r="G137">
        <f t="shared" si="11"/>
        <v>-0.55000000000000004</v>
      </c>
    </row>
    <row r="138" spans="1:10" x14ac:dyDescent="0.25">
      <c r="A138">
        <v>87.640100000000004</v>
      </c>
      <c r="B138">
        <v>2.52E-2</v>
      </c>
      <c r="C138">
        <v>6.6E-3</v>
      </c>
      <c r="D138">
        <v>0.45240000000000002</v>
      </c>
      <c r="E138">
        <f t="shared" si="9"/>
        <v>-0.9748</v>
      </c>
      <c r="F138" s="3">
        <f t="shared" si="10"/>
        <v>3.1249999999999944E-2</v>
      </c>
      <c r="G138">
        <f t="shared" si="11"/>
        <v>-0.54759999999999998</v>
      </c>
    </row>
    <row r="139" spans="1:10" x14ac:dyDescent="0.25">
      <c r="A139">
        <v>88.310100000000006</v>
      </c>
      <c r="B139">
        <v>2.5999999999999999E-2</v>
      </c>
      <c r="C139">
        <v>6.8999999999999999E-3</v>
      </c>
      <c r="D139">
        <v>0.45479999999999998</v>
      </c>
      <c r="E139">
        <f t="shared" si="9"/>
        <v>-0.97399999999999998</v>
      </c>
      <c r="F139" s="3">
        <f t="shared" si="10"/>
        <v>4.5454545454545442E-2</v>
      </c>
      <c r="G139">
        <f t="shared" si="11"/>
        <v>-0.54520000000000002</v>
      </c>
    </row>
    <row r="140" spans="1:10" x14ac:dyDescent="0.25">
      <c r="A140">
        <v>88.980199999999996</v>
      </c>
      <c r="B140">
        <v>2.6700000000000002E-2</v>
      </c>
      <c r="C140">
        <v>7.1999999999999998E-3</v>
      </c>
      <c r="D140">
        <v>0.4572</v>
      </c>
      <c r="E140">
        <f t="shared" si="9"/>
        <v>-0.97330000000000005</v>
      </c>
      <c r="F140" s="3">
        <f t="shared" si="10"/>
        <v>4.3478260869565209E-2</v>
      </c>
      <c r="G140">
        <f t="shared" si="11"/>
        <v>-0.54279999999999995</v>
      </c>
    </row>
    <row r="141" spans="1:10" x14ac:dyDescent="0.25">
      <c r="A141">
        <v>89.646500000000003</v>
      </c>
      <c r="B141">
        <v>2.75E-2</v>
      </c>
      <c r="C141">
        <v>7.4999999999999997E-3</v>
      </c>
      <c r="D141">
        <v>0.4597</v>
      </c>
      <c r="E141">
        <f t="shared" si="9"/>
        <v>-0.97250000000000003</v>
      </c>
      <c r="F141" s="3">
        <f t="shared" si="10"/>
        <v>4.1666666666666657E-2</v>
      </c>
      <c r="G141">
        <f t="shared" si="11"/>
        <v>-0.5403</v>
      </c>
    </row>
    <row r="142" spans="1:10" x14ac:dyDescent="0.25">
      <c r="A142">
        <v>90.312799999999996</v>
      </c>
      <c r="B142">
        <v>2.8199999999999999E-2</v>
      </c>
      <c r="C142">
        <v>7.7999999999999996E-3</v>
      </c>
      <c r="D142">
        <v>0.46189999999999998</v>
      </c>
      <c r="E142">
        <f t="shared" si="9"/>
        <v>-0.9718</v>
      </c>
      <c r="F142" s="3">
        <f t="shared" si="10"/>
        <v>3.9999999999999994E-2</v>
      </c>
      <c r="G142">
        <f t="shared" si="11"/>
        <v>-0.53810000000000002</v>
      </c>
    </row>
    <row r="143" spans="1:10" x14ac:dyDescent="0.25">
      <c r="A143">
        <v>90.979100000000003</v>
      </c>
      <c r="B143">
        <v>2.9000000000000001E-2</v>
      </c>
      <c r="C143">
        <v>8.0999999999999996E-3</v>
      </c>
      <c r="D143">
        <v>0.46350000000000002</v>
      </c>
      <c r="E143">
        <f t="shared" si="9"/>
        <v>-0.97099999999999997</v>
      </c>
      <c r="F143" s="3">
        <f t="shared" si="10"/>
        <v>3.846153846153845E-2</v>
      </c>
      <c r="G143">
        <f t="shared" si="11"/>
        <v>-0.53649999999999998</v>
      </c>
      <c r="H143">
        <f>B143</f>
        <v>2.9000000000000001E-2</v>
      </c>
      <c r="I143">
        <f t="shared" ref="I143:J143" si="12">C143</f>
        <v>8.0999999999999996E-3</v>
      </c>
      <c r="J143">
        <f t="shared" si="12"/>
        <v>0.46350000000000002</v>
      </c>
    </row>
    <row r="144" spans="1:10" x14ac:dyDescent="0.25">
      <c r="A144">
        <v>91.645399999999995</v>
      </c>
      <c r="B144">
        <v>2.98E-2</v>
      </c>
      <c r="C144">
        <v>8.3999999999999995E-3</v>
      </c>
      <c r="D144">
        <v>0.46489999999999998</v>
      </c>
      <c r="E144">
        <f t="shared" si="9"/>
        <v>-0.97019999999999995</v>
      </c>
      <c r="F144" s="3">
        <f t="shared" si="10"/>
        <v>3.7037037037037028E-2</v>
      </c>
      <c r="G144">
        <f t="shared" si="11"/>
        <v>-0.53510000000000002</v>
      </c>
    </row>
    <row r="145" spans="1:7" x14ac:dyDescent="0.25">
      <c r="A145">
        <v>92.302199999999999</v>
      </c>
      <c r="B145">
        <v>3.0599999999999999E-2</v>
      </c>
      <c r="C145">
        <v>8.6999999999999994E-3</v>
      </c>
      <c r="D145">
        <v>0.46629999999999999</v>
      </c>
      <c r="E145">
        <f t="shared" si="9"/>
        <v>-0.96940000000000004</v>
      </c>
      <c r="F145" s="3">
        <f t="shared" si="10"/>
        <v>3.5714285714285705E-2</v>
      </c>
      <c r="G145">
        <f t="shared" si="11"/>
        <v>-0.53370000000000006</v>
      </c>
    </row>
    <row r="146" spans="1:7" x14ac:dyDescent="0.25">
      <c r="A146">
        <v>92.9589</v>
      </c>
      <c r="B146">
        <v>3.1399999999999997E-2</v>
      </c>
      <c r="C146">
        <v>9.1000000000000004E-3</v>
      </c>
      <c r="D146">
        <v>0.46760000000000002</v>
      </c>
      <c r="E146">
        <f t="shared" si="9"/>
        <v>-0.96860000000000002</v>
      </c>
      <c r="F146" s="3">
        <f t="shared" si="10"/>
        <v>4.5977011494252998E-2</v>
      </c>
      <c r="G146">
        <f t="shared" si="11"/>
        <v>-0.53239999999999998</v>
      </c>
    </row>
    <row r="147" spans="1:7" x14ac:dyDescent="0.25">
      <c r="A147">
        <v>93.615700000000004</v>
      </c>
      <c r="B147">
        <v>3.2300000000000002E-2</v>
      </c>
      <c r="C147">
        <v>9.4000000000000004E-3</v>
      </c>
      <c r="D147">
        <v>0.46899999999999997</v>
      </c>
      <c r="E147">
        <f t="shared" si="9"/>
        <v>-0.9677</v>
      </c>
      <c r="F147" s="3">
        <f t="shared" si="10"/>
        <v>3.2967032967032954E-2</v>
      </c>
      <c r="G147">
        <f t="shared" si="11"/>
        <v>-0.53100000000000003</v>
      </c>
    </row>
    <row r="148" spans="1:7" x14ac:dyDescent="0.25">
      <c r="A148">
        <v>94.272400000000005</v>
      </c>
      <c r="B148">
        <v>3.3099999999999997E-2</v>
      </c>
      <c r="C148">
        <v>9.7000000000000003E-3</v>
      </c>
      <c r="D148">
        <v>0.47039999999999998</v>
      </c>
      <c r="E148">
        <f t="shared" si="9"/>
        <v>-0.96689999999999998</v>
      </c>
      <c r="F148" s="3">
        <f t="shared" si="10"/>
        <v>3.1914893617021267E-2</v>
      </c>
      <c r="G148">
        <f t="shared" si="11"/>
        <v>-0.52960000000000007</v>
      </c>
    </row>
    <row r="149" spans="1:7" x14ac:dyDescent="0.25">
      <c r="A149">
        <v>95.013900000000007</v>
      </c>
      <c r="B149">
        <v>3.4099999999999998E-2</v>
      </c>
      <c r="C149">
        <v>1.01E-2</v>
      </c>
      <c r="D149">
        <v>0.47189999999999999</v>
      </c>
      <c r="E149">
        <f t="shared" si="9"/>
        <v>-0.96589999999999998</v>
      </c>
      <c r="F149" s="3">
        <f t="shared" si="10"/>
        <v>4.1237113402061785E-2</v>
      </c>
      <c r="G149">
        <f t="shared" si="11"/>
        <v>-0.52810000000000001</v>
      </c>
    </row>
    <row r="150" spans="1:7" x14ac:dyDescent="0.25">
      <c r="A150">
        <v>95.755300000000005</v>
      </c>
      <c r="B150">
        <v>3.5099999999999999E-2</v>
      </c>
      <c r="C150">
        <v>1.0500000000000001E-2</v>
      </c>
      <c r="D150">
        <v>0.47339999999999999</v>
      </c>
      <c r="E150">
        <f t="shared" si="9"/>
        <v>-0.96489999999999998</v>
      </c>
      <c r="F150" s="3">
        <f t="shared" si="10"/>
        <v>3.9603960396039709E-2</v>
      </c>
      <c r="G150">
        <f t="shared" si="11"/>
        <v>-0.52659999999999996</v>
      </c>
    </row>
    <row r="151" spans="1:7" x14ac:dyDescent="0.25">
      <c r="A151">
        <v>96.496700000000004</v>
      </c>
      <c r="B151">
        <v>3.61E-2</v>
      </c>
      <c r="C151">
        <v>1.09E-2</v>
      </c>
      <c r="D151">
        <v>0.47489999999999999</v>
      </c>
      <c r="E151">
        <f t="shared" si="9"/>
        <v>-0.96389999999999998</v>
      </c>
      <c r="F151" s="3">
        <f t="shared" si="10"/>
        <v>3.8095238095238029E-2</v>
      </c>
      <c r="G151">
        <f t="shared" si="11"/>
        <v>-0.52510000000000001</v>
      </c>
    </row>
    <row r="152" spans="1:7" x14ac:dyDescent="0.25">
      <c r="A152">
        <v>97.238100000000003</v>
      </c>
      <c r="B152">
        <v>3.7100000000000001E-2</v>
      </c>
      <c r="C152">
        <v>1.14E-2</v>
      </c>
      <c r="D152">
        <v>0.47639999999999999</v>
      </c>
      <c r="E152">
        <f t="shared" si="9"/>
        <v>-0.96289999999999998</v>
      </c>
      <c r="F152" s="3">
        <f t="shared" si="10"/>
        <v>4.5871559633027567E-2</v>
      </c>
      <c r="G152">
        <f t="shared" si="11"/>
        <v>-0.52360000000000007</v>
      </c>
    </row>
    <row r="153" spans="1:7" x14ac:dyDescent="0.25">
      <c r="A153">
        <v>97.926000000000002</v>
      </c>
      <c r="B153">
        <v>3.7999999999999999E-2</v>
      </c>
      <c r="C153">
        <v>1.18E-2</v>
      </c>
      <c r="D153">
        <v>0.4778</v>
      </c>
      <c r="E153">
        <f t="shared" si="9"/>
        <v>-0.96199999999999997</v>
      </c>
      <c r="F153" s="3">
        <f t="shared" si="10"/>
        <v>3.508771929824555E-2</v>
      </c>
      <c r="G153">
        <f t="shared" si="11"/>
        <v>-0.5222</v>
      </c>
    </row>
    <row r="154" spans="1:7" x14ac:dyDescent="0.25">
      <c r="A154">
        <v>98.613900000000001</v>
      </c>
      <c r="B154">
        <v>3.9E-2</v>
      </c>
      <c r="C154">
        <v>1.2200000000000001E-2</v>
      </c>
      <c r="D154">
        <v>0.47910000000000003</v>
      </c>
      <c r="E154">
        <f t="shared" si="9"/>
        <v>-0.96099999999999997</v>
      </c>
      <c r="F154" s="3">
        <f t="shared" si="10"/>
        <v>3.3898305084745853E-2</v>
      </c>
      <c r="G154">
        <f t="shared" si="11"/>
        <v>-0.52089999999999992</v>
      </c>
    </row>
    <row r="155" spans="1:7" x14ac:dyDescent="0.25">
      <c r="A155">
        <v>99.3018</v>
      </c>
      <c r="B155">
        <v>0.04</v>
      </c>
      <c r="C155">
        <v>1.26E-2</v>
      </c>
      <c r="D155">
        <v>0.48049999999999998</v>
      </c>
      <c r="E155">
        <f t="shared" si="9"/>
        <v>-0.96</v>
      </c>
      <c r="F155" s="3">
        <f t="shared" si="10"/>
        <v>3.2786885245901579E-2</v>
      </c>
      <c r="G155">
        <f t="shared" si="11"/>
        <v>-0.51950000000000007</v>
      </c>
    </row>
    <row r="156" spans="1:7" x14ac:dyDescent="0.25">
      <c r="A156">
        <v>99.989699999999999</v>
      </c>
      <c r="B156">
        <v>4.1000000000000002E-2</v>
      </c>
      <c r="C156">
        <v>1.2999999999999999E-2</v>
      </c>
      <c r="D156">
        <v>0.4819</v>
      </c>
      <c r="E156">
        <f t="shared" si="9"/>
        <v>-0.95899999999999996</v>
      </c>
      <c r="F156" s="3">
        <f t="shared" si="10"/>
        <v>3.1746031746031689E-2</v>
      </c>
      <c r="G156">
        <f t="shared" si="11"/>
        <v>-0.5181</v>
      </c>
    </row>
    <row r="157" spans="1:7" x14ac:dyDescent="0.25">
      <c r="A157">
        <v>100.6345</v>
      </c>
      <c r="B157">
        <v>4.19E-2</v>
      </c>
      <c r="C157">
        <v>1.35E-2</v>
      </c>
      <c r="D157">
        <v>0.48309999999999997</v>
      </c>
      <c r="E157">
        <f t="shared" si="9"/>
        <v>-0.95809999999999995</v>
      </c>
      <c r="F157" s="3">
        <f t="shared" si="10"/>
        <v>3.8461538461538498E-2</v>
      </c>
      <c r="G157">
        <f t="shared" si="11"/>
        <v>-0.51690000000000003</v>
      </c>
    </row>
    <row r="158" spans="1:7" x14ac:dyDescent="0.25">
      <c r="A158">
        <v>101.2792</v>
      </c>
      <c r="B158">
        <v>4.2900000000000001E-2</v>
      </c>
      <c r="C158">
        <v>1.3899999999999999E-2</v>
      </c>
      <c r="D158">
        <v>0.4844</v>
      </c>
      <c r="E158">
        <f t="shared" si="9"/>
        <v>-0.95709999999999995</v>
      </c>
      <c r="F158" s="3">
        <f t="shared" si="10"/>
        <v>2.9629629629629579E-2</v>
      </c>
      <c r="G158">
        <f t="shared" si="11"/>
        <v>-0.51560000000000006</v>
      </c>
    </row>
    <row r="159" spans="1:7" x14ac:dyDescent="0.25">
      <c r="A159">
        <v>101.92400000000001</v>
      </c>
      <c r="B159">
        <v>4.3799999999999999E-2</v>
      </c>
      <c r="C159">
        <v>1.43E-2</v>
      </c>
      <c r="D159">
        <v>0.48559999999999998</v>
      </c>
      <c r="E159">
        <f t="shared" si="9"/>
        <v>-0.95620000000000005</v>
      </c>
      <c r="F159" s="3">
        <f t="shared" si="10"/>
        <v>2.8776978417266265E-2</v>
      </c>
      <c r="G159">
        <f t="shared" si="11"/>
        <v>-0.51439999999999997</v>
      </c>
    </row>
    <row r="160" spans="1:7" x14ac:dyDescent="0.25">
      <c r="A160">
        <v>102.56870000000001</v>
      </c>
      <c r="B160">
        <v>4.48E-2</v>
      </c>
      <c r="C160">
        <v>1.47E-2</v>
      </c>
      <c r="D160">
        <v>0.48680000000000001</v>
      </c>
      <c r="E160">
        <f t="shared" si="9"/>
        <v>-0.95520000000000005</v>
      </c>
      <c r="F160" s="3">
        <f t="shared" si="10"/>
        <v>2.7972027972027923E-2</v>
      </c>
      <c r="G160">
        <f t="shared" si="11"/>
        <v>-0.51319999999999999</v>
      </c>
    </row>
    <row r="161" spans="1:7" x14ac:dyDescent="0.25">
      <c r="A161">
        <v>103.2229</v>
      </c>
      <c r="B161">
        <v>4.58E-2</v>
      </c>
      <c r="C161">
        <v>1.52E-2</v>
      </c>
      <c r="D161">
        <v>0.48809999999999998</v>
      </c>
      <c r="E161">
        <f t="shared" si="9"/>
        <v>-0.95420000000000005</v>
      </c>
      <c r="F161" s="3">
        <f t="shared" si="10"/>
        <v>3.4013605442176902E-2</v>
      </c>
      <c r="G161">
        <f t="shared" si="11"/>
        <v>-0.51190000000000002</v>
      </c>
    </row>
    <row r="162" spans="1:7" x14ac:dyDescent="0.25">
      <c r="A162">
        <v>103.8771</v>
      </c>
      <c r="B162">
        <v>4.6800000000000001E-2</v>
      </c>
      <c r="C162">
        <v>1.5599999999999999E-2</v>
      </c>
      <c r="D162">
        <v>0.48930000000000001</v>
      </c>
      <c r="E162">
        <f t="shared" si="9"/>
        <v>-0.95320000000000005</v>
      </c>
      <c r="F162" s="3">
        <f t="shared" si="10"/>
        <v>2.6315789473684164E-2</v>
      </c>
      <c r="G162">
        <f t="shared" si="11"/>
        <v>-0.51069999999999993</v>
      </c>
    </row>
    <row r="163" spans="1:7" x14ac:dyDescent="0.25">
      <c r="A163">
        <v>104.5313</v>
      </c>
      <c r="B163">
        <v>4.7800000000000002E-2</v>
      </c>
      <c r="C163">
        <v>1.61E-2</v>
      </c>
      <c r="D163">
        <v>0.49049999999999999</v>
      </c>
      <c r="E163">
        <f t="shared" si="9"/>
        <v>-0.95220000000000005</v>
      </c>
      <c r="F163" s="3">
        <f t="shared" si="10"/>
        <v>3.2051282051282083E-2</v>
      </c>
      <c r="G163">
        <f t="shared" si="11"/>
        <v>-0.50950000000000006</v>
      </c>
    </row>
    <row r="164" spans="1:7" x14ac:dyDescent="0.25">
      <c r="A164">
        <v>105.1854</v>
      </c>
      <c r="B164">
        <v>4.8800000000000003E-2</v>
      </c>
      <c r="C164">
        <v>1.66E-2</v>
      </c>
      <c r="D164">
        <v>0.49180000000000001</v>
      </c>
      <c r="E164">
        <f t="shared" si="9"/>
        <v>-0.95120000000000005</v>
      </c>
      <c r="F164" s="3">
        <f t="shared" si="10"/>
        <v>3.105590062111804E-2</v>
      </c>
      <c r="G164">
        <f t="shared" si="11"/>
        <v>-0.50819999999999999</v>
      </c>
    </row>
    <row r="165" spans="1:7" x14ac:dyDescent="0.25">
      <c r="A165">
        <v>105.86</v>
      </c>
      <c r="B165">
        <v>4.99E-2</v>
      </c>
      <c r="C165">
        <v>1.7100000000000001E-2</v>
      </c>
      <c r="D165">
        <v>0.49299999999999999</v>
      </c>
      <c r="E165">
        <f t="shared" si="9"/>
        <v>-0.95009999999999994</v>
      </c>
      <c r="F165" s="3">
        <f t="shared" si="10"/>
        <v>3.0120481927710871E-2</v>
      </c>
      <c r="G165">
        <f t="shared" si="11"/>
        <v>-0.50700000000000001</v>
      </c>
    </row>
    <row r="166" spans="1:7" x14ac:dyDescent="0.25">
      <c r="A166">
        <v>106.5347</v>
      </c>
      <c r="B166">
        <v>5.0900000000000001E-2</v>
      </c>
      <c r="C166">
        <v>1.7600000000000001E-2</v>
      </c>
      <c r="D166">
        <v>0.49419999999999997</v>
      </c>
      <c r="E166">
        <f t="shared" si="9"/>
        <v>-0.94910000000000005</v>
      </c>
      <c r="F166" s="3">
        <f t="shared" si="10"/>
        <v>2.9239766081871371E-2</v>
      </c>
      <c r="G166">
        <f t="shared" si="11"/>
        <v>-0.50580000000000003</v>
      </c>
    </row>
    <row r="167" spans="1:7" x14ac:dyDescent="0.25">
      <c r="A167">
        <v>107.2093</v>
      </c>
      <c r="B167">
        <v>5.1999999999999998E-2</v>
      </c>
      <c r="C167">
        <v>1.8100000000000002E-2</v>
      </c>
      <c r="D167">
        <v>0.4955</v>
      </c>
      <c r="E167">
        <f t="shared" si="9"/>
        <v>-0.94799999999999995</v>
      </c>
      <c r="F167" s="3">
        <f t="shared" si="10"/>
        <v>2.8409090909090932E-2</v>
      </c>
      <c r="G167">
        <f t="shared" si="11"/>
        <v>-0.50449999999999995</v>
      </c>
    </row>
    <row r="168" spans="1:7" x14ac:dyDescent="0.25">
      <c r="A168">
        <v>107.8839</v>
      </c>
      <c r="B168">
        <v>5.3100000000000001E-2</v>
      </c>
      <c r="C168">
        <v>1.8599999999999998E-2</v>
      </c>
      <c r="D168">
        <v>0.49669999999999997</v>
      </c>
      <c r="E168">
        <f t="shared" si="9"/>
        <v>-0.94689999999999996</v>
      </c>
      <c r="F168" s="3">
        <f t="shared" si="10"/>
        <v>2.7624309392265022E-2</v>
      </c>
      <c r="G168">
        <f t="shared" si="11"/>
        <v>-0.50330000000000008</v>
      </c>
    </row>
    <row r="169" spans="1:7" x14ac:dyDescent="0.25">
      <c r="A169">
        <v>108.5635</v>
      </c>
      <c r="B169">
        <v>5.4199999999999998E-2</v>
      </c>
      <c r="C169">
        <v>1.9099999999999999E-2</v>
      </c>
      <c r="D169">
        <v>0.49790000000000001</v>
      </c>
      <c r="E169">
        <f t="shared" si="9"/>
        <v>-0.94579999999999997</v>
      </c>
      <c r="F169" s="3">
        <f t="shared" si="10"/>
        <v>2.6881720430107552E-2</v>
      </c>
      <c r="G169">
        <f t="shared" si="11"/>
        <v>-0.50209999999999999</v>
      </c>
    </row>
    <row r="170" spans="1:7" x14ac:dyDescent="0.25">
      <c r="A170">
        <v>109.2431</v>
      </c>
      <c r="B170">
        <v>5.5199999999999999E-2</v>
      </c>
      <c r="C170">
        <v>1.9599999999999999E-2</v>
      </c>
      <c r="D170">
        <v>0.49909999999999999</v>
      </c>
      <c r="E170">
        <f t="shared" si="9"/>
        <v>-0.94479999999999997</v>
      </c>
      <c r="F170" s="3">
        <f t="shared" si="10"/>
        <v>2.6178010471204213E-2</v>
      </c>
      <c r="G170">
        <f t="shared" si="11"/>
        <v>-0.50090000000000001</v>
      </c>
    </row>
    <row r="171" spans="1:7" x14ac:dyDescent="0.25">
      <c r="A171">
        <v>109.92270000000001</v>
      </c>
      <c r="B171">
        <v>5.6300000000000003E-2</v>
      </c>
      <c r="C171">
        <v>2.0199999999999999E-2</v>
      </c>
      <c r="D171">
        <v>0.50029999999999997</v>
      </c>
      <c r="E171">
        <f t="shared" si="9"/>
        <v>-0.94369999999999998</v>
      </c>
      <c r="F171" s="3">
        <f t="shared" si="10"/>
        <v>3.0612244897959176E-2</v>
      </c>
      <c r="G171">
        <f t="shared" si="11"/>
        <v>-0.49970000000000003</v>
      </c>
    </row>
    <row r="172" spans="1:7" x14ac:dyDescent="0.25">
      <c r="A172">
        <v>110.6023</v>
      </c>
      <c r="B172">
        <v>5.74E-2</v>
      </c>
      <c r="C172">
        <v>2.07E-2</v>
      </c>
      <c r="D172">
        <v>0.50149999999999995</v>
      </c>
      <c r="E172">
        <f t="shared" si="9"/>
        <v>-0.94259999999999999</v>
      </c>
      <c r="F172" s="3">
        <f t="shared" si="10"/>
        <v>2.4752475247524774E-2</v>
      </c>
      <c r="G172">
        <f t="shared" si="11"/>
        <v>-0.49850000000000005</v>
      </c>
    </row>
    <row r="173" spans="1:7" x14ac:dyDescent="0.25">
      <c r="A173">
        <v>111.2821</v>
      </c>
      <c r="B173">
        <v>5.8500000000000003E-2</v>
      </c>
      <c r="C173">
        <v>2.1299999999999999E-2</v>
      </c>
      <c r="D173">
        <v>0.50270000000000004</v>
      </c>
      <c r="E173">
        <f t="shared" si="9"/>
        <v>-0.9415</v>
      </c>
      <c r="F173" s="3">
        <f t="shared" si="10"/>
        <v>2.8985507246376805E-2</v>
      </c>
      <c r="G173">
        <f t="shared" si="11"/>
        <v>-0.49729999999999996</v>
      </c>
    </row>
    <row r="174" spans="1:7" x14ac:dyDescent="0.25">
      <c r="A174">
        <v>111.9619</v>
      </c>
      <c r="B174">
        <v>5.9700000000000003E-2</v>
      </c>
      <c r="C174">
        <v>2.18E-2</v>
      </c>
      <c r="D174">
        <v>0.50390000000000001</v>
      </c>
      <c r="E174">
        <f t="shared" si="9"/>
        <v>-0.94030000000000002</v>
      </c>
      <c r="F174" s="3">
        <f t="shared" si="10"/>
        <v>2.3474178403755892E-2</v>
      </c>
      <c r="G174">
        <f t="shared" si="11"/>
        <v>-0.49609999999999999</v>
      </c>
    </row>
    <row r="175" spans="1:7" x14ac:dyDescent="0.25">
      <c r="A175">
        <v>112.6417</v>
      </c>
      <c r="B175">
        <v>6.08E-2</v>
      </c>
      <c r="C175">
        <v>2.24E-2</v>
      </c>
      <c r="D175">
        <v>0.505</v>
      </c>
      <c r="E175">
        <f t="shared" si="9"/>
        <v>-0.93920000000000003</v>
      </c>
      <c r="F175" s="3">
        <f t="shared" si="10"/>
        <v>2.7522935779816505E-2</v>
      </c>
      <c r="G175">
        <f t="shared" si="11"/>
        <v>-0.495</v>
      </c>
    </row>
    <row r="176" spans="1:7" x14ac:dyDescent="0.25">
      <c r="A176">
        <v>113.3215</v>
      </c>
      <c r="B176">
        <v>6.1899999999999997E-2</v>
      </c>
      <c r="C176">
        <v>2.3E-2</v>
      </c>
      <c r="D176">
        <v>0.50619999999999998</v>
      </c>
      <c r="E176">
        <f t="shared" si="9"/>
        <v>-0.93810000000000004</v>
      </c>
      <c r="F176" s="3">
        <f t="shared" si="10"/>
        <v>2.6785714285714277E-2</v>
      </c>
      <c r="G176">
        <f t="shared" si="11"/>
        <v>-0.49380000000000002</v>
      </c>
    </row>
    <row r="177" spans="1:10" x14ac:dyDescent="0.25">
      <c r="A177">
        <v>114.0085</v>
      </c>
      <c r="B177">
        <v>6.3E-2</v>
      </c>
      <c r="C177">
        <v>2.35E-2</v>
      </c>
      <c r="D177">
        <v>0.50739999999999996</v>
      </c>
      <c r="E177">
        <f t="shared" si="9"/>
        <v>-0.93700000000000006</v>
      </c>
      <c r="F177" s="3">
        <f t="shared" si="10"/>
        <v>2.1739130434782629E-2</v>
      </c>
      <c r="G177">
        <f t="shared" si="11"/>
        <v>-0.49260000000000004</v>
      </c>
    </row>
    <row r="178" spans="1:10" x14ac:dyDescent="0.25">
      <c r="A178">
        <v>114.6955</v>
      </c>
      <c r="B178">
        <v>6.4100000000000004E-2</v>
      </c>
      <c r="C178">
        <v>2.41E-2</v>
      </c>
      <c r="D178">
        <v>0.50849999999999995</v>
      </c>
      <c r="E178">
        <f t="shared" si="9"/>
        <v>-0.93589999999999995</v>
      </c>
      <c r="F178" s="3">
        <f t="shared" si="10"/>
        <v>2.5531914893617013E-2</v>
      </c>
      <c r="G178">
        <f t="shared" si="11"/>
        <v>-0.49150000000000005</v>
      </c>
    </row>
    <row r="179" spans="1:10" x14ac:dyDescent="0.25">
      <c r="A179">
        <v>115.3824</v>
      </c>
      <c r="B179">
        <v>6.5199999999999994E-2</v>
      </c>
      <c r="C179">
        <v>2.47E-2</v>
      </c>
      <c r="D179">
        <v>0.50970000000000004</v>
      </c>
      <c r="E179">
        <f t="shared" si="9"/>
        <v>-0.93479999999999996</v>
      </c>
      <c r="F179" s="3">
        <f t="shared" si="10"/>
        <v>2.489626556016597E-2</v>
      </c>
      <c r="G179">
        <f t="shared" si="11"/>
        <v>-0.49029999999999996</v>
      </c>
    </row>
    <row r="180" spans="1:10" x14ac:dyDescent="0.25">
      <c r="A180">
        <v>116.0694</v>
      </c>
      <c r="B180">
        <v>6.6400000000000001E-2</v>
      </c>
      <c r="C180">
        <v>2.53E-2</v>
      </c>
      <c r="D180">
        <v>0.51080000000000003</v>
      </c>
      <c r="E180">
        <f t="shared" si="9"/>
        <v>-0.93359999999999999</v>
      </c>
      <c r="F180" s="3">
        <f t="shared" si="10"/>
        <v>2.4291497975708495E-2</v>
      </c>
      <c r="G180">
        <f t="shared" si="11"/>
        <v>-0.48919999999999997</v>
      </c>
    </row>
    <row r="181" spans="1:10" x14ac:dyDescent="0.25">
      <c r="A181">
        <v>116.77079999999999</v>
      </c>
      <c r="B181">
        <v>6.7500000000000004E-2</v>
      </c>
      <c r="C181">
        <v>2.5899999999999999E-2</v>
      </c>
      <c r="D181">
        <v>0.51190000000000002</v>
      </c>
      <c r="E181">
        <f t="shared" si="9"/>
        <v>-0.9325</v>
      </c>
      <c r="F181" s="3">
        <f t="shared" si="10"/>
        <v>2.3715415019762841E-2</v>
      </c>
      <c r="G181">
        <f t="shared" si="11"/>
        <v>-0.48809999999999998</v>
      </c>
    </row>
    <row r="182" spans="1:10" x14ac:dyDescent="0.25">
      <c r="A182">
        <v>117.4723</v>
      </c>
      <c r="B182">
        <v>6.8599999999999994E-2</v>
      </c>
      <c r="C182">
        <v>2.6499999999999999E-2</v>
      </c>
      <c r="D182">
        <v>0.5131</v>
      </c>
      <c r="E182">
        <f t="shared" si="9"/>
        <v>-0.93140000000000001</v>
      </c>
      <c r="F182" s="3">
        <f t="shared" si="10"/>
        <v>2.3166023166023161E-2</v>
      </c>
      <c r="G182">
        <f t="shared" si="11"/>
        <v>-0.4869</v>
      </c>
    </row>
    <row r="183" spans="1:10" x14ac:dyDescent="0.25">
      <c r="A183">
        <v>118.1737</v>
      </c>
      <c r="B183">
        <v>6.9800000000000001E-2</v>
      </c>
      <c r="C183">
        <v>2.7099999999999999E-2</v>
      </c>
      <c r="D183">
        <v>0.51419999999999999</v>
      </c>
      <c r="E183">
        <f t="shared" si="9"/>
        <v>-0.93020000000000003</v>
      </c>
      <c r="F183" s="3">
        <f t="shared" si="10"/>
        <v>2.2641509433962259E-2</v>
      </c>
      <c r="G183">
        <f t="shared" si="11"/>
        <v>-0.48580000000000001</v>
      </c>
    </row>
    <row r="184" spans="1:10" x14ac:dyDescent="0.25">
      <c r="A184">
        <v>118.8751</v>
      </c>
      <c r="B184">
        <v>7.0900000000000005E-2</v>
      </c>
      <c r="C184">
        <v>2.7799999999999998E-2</v>
      </c>
      <c r="D184">
        <v>0.51529999999999998</v>
      </c>
      <c r="E184">
        <f t="shared" si="9"/>
        <v>-0.92910000000000004</v>
      </c>
      <c r="F184" s="3">
        <f t="shared" si="10"/>
        <v>2.5830258302582999E-2</v>
      </c>
      <c r="G184">
        <f t="shared" si="11"/>
        <v>-0.48470000000000002</v>
      </c>
    </row>
    <row r="185" spans="1:10" x14ac:dyDescent="0.25">
      <c r="A185">
        <v>119.5951</v>
      </c>
      <c r="B185">
        <v>7.2099999999999997E-2</v>
      </c>
      <c r="C185">
        <v>2.8400000000000002E-2</v>
      </c>
      <c r="D185">
        <v>0.51649999999999996</v>
      </c>
      <c r="E185">
        <f t="shared" si="9"/>
        <v>-0.92789999999999995</v>
      </c>
      <c r="F185" s="3">
        <f t="shared" si="10"/>
        <v>2.1582733812949759E-2</v>
      </c>
      <c r="G185">
        <f t="shared" si="11"/>
        <v>-0.48350000000000004</v>
      </c>
    </row>
    <row r="186" spans="1:10" x14ac:dyDescent="0.25">
      <c r="A186">
        <v>120.3151</v>
      </c>
      <c r="B186">
        <v>7.3200000000000001E-2</v>
      </c>
      <c r="C186">
        <v>2.9000000000000001E-2</v>
      </c>
      <c r="D186">
        <v>0.51759999999999995</v>
      </c>
      <c r="E186">
        <f t="shared" si="9"/>
        <v>-0.92679999999999996</v>
      </c>
      <c r="F186" s="3">
        <f t="shared" si="10"/>
        <v>2.1126760563380274E-2</v>
      </c>
      <c r="G186">
        <f t="shared" si="11"/>
        <v>-0.48240000000000005</v>
      </c>
      <c r="I186">
        <f>4*365/12</f>
        <v>121.66666666666667</v>
      </c>
    </row>
    <row r="187" spans="1:10" x14ac:dyDescent="0.25">
      <c r="A187">
        <v>121.0351</v>
      </c>
      <c r="B187">
        <v>7.4399999999999994E-2</v>
      </c>
      <c r="C187">
        <v>2.9700000000000001E-2</v>
      </c>
      <c r="D187">
        <v>0.51870000000000005</v>
      </c>
      <c r="E187">
        <f t="shared" si="9"/>
        <v>-0.92559999999999998</v>
      </c>
      <c r="F187" s="3">
        <f t="shared" si="10"/>
        <v>2.4137931034482731E-2</v>
      </c>
      <c r="G187">
        <f t="shared" si="11"/>
        <v>-0.48129999999999995</v>
      </c>
      <c r="H187">
        <f>B187</f>
        <v>7.4399999999999994E-2</v>
      </c>
      <c r="I187">
        <f t="shared" ref="I187:J187" si="13">C187</f>
        <v>2.9700000000000001E-2</v>
      </c>
      <c r="J187">
        <f t="shared" si="13"/>
        <v>0.51870000000000005</v>
      </c>
    </row>
    <row r="188" spans="1:10" x14ac:dyDescent="0.25">
      <c r="A188">
        <v>121.7552</v>
      </c>
      <c r="B188">
        <v>7.5499999999999998E-2</v>
      </c>
      <c r="C188">
        <v>3.0300000000000001E-2</v>
      </c>
      <c r="D188">
        <v>0.51990000000000003</v>
      </c>
      <c r="E188">
        <f t="shared" si="9"/>
        <v>-0.92449999999999999</v>
      </c>
      <c r="F188" s="3">
        <f t="shared" si="10"/>
        <v>2.0202020202020197E-2</v>
      </c>
      <c r="G188">
        <f t="shared" si="11"/>
        <v>-0.48009999999999997</v>
      </c>
    </row>
    <row r="189" spans="1:10" x14ac:dyDescent="0.25">
      <c r="A189">
        <v>122.48909999999999</v>
      </c>
      <c r="B189">
        <v>7.6600000000000001E-2</v>
      </c>
      <c r="C189">
        <v>3.1E-2</v>
      </c>
      <c r="D189">
        <v>0.52100000000000002</v>
      </c>
      <c r="E189">
        <f t="shared" si="9"/>
        <v>-0.9234</v>
      </c>
      <c r="F189" s="3">
        <f t="shared" si="10"/>
        <v>2.3102310231023077E-2</v>
      </c>
      <c r="G189">
        <f t="shared" si="11"/>
        <v>-0.47899999999999998</v>
      </c>
    </row>
    <row r="190" spans="1:10" x14ac:dyDescent="0.25">
      <c r="A190">
        <v>123.223</v>
      </c>
      <c r="B190">
        <v>7.7799999999999994E-2</v>
      </c>
      <c r="C190">
        <v>3.1600000000000003E-2</v>
      </c>
      <c r="D190">
        <v>0.52210000000000001</v>
      </c>
      <c r="E190">
        <f t="shared" si="9"/>
        <v>-0.92220000000000002</v>
      </c>
      <c r="F190" s="3">
        <f t="shared" si="10"/>
        <v>1.9354838709677528E-2</v>
      </c>
      <c r="G190">
        <f t="shared" si="11"/>
        <v>-0.47789999999999999</v>
      </c>
    </row>
    <row r="191" spans="1:10" x14ac:dyDescent="0.25">
      <c r="A191">
        <v>123.95699999999999</v>
      </c>
      <c r="B191">
        <v>7.8899999999999998E-2</v>
      </c>
      <c r="C191">
        <v>3.2300000000000002E-2</v>
      </c>
      <c r="D191">
        <v>0.5232</v>
      </c>
      <c r="E191">
        <f t="shared" si="9"/>
        <v>-0.92110000000000003</v>
      </c>
      <c r="F191" s="3">
        <f t="shared" si="10"/>
        <v>2.2151898734177188E-2</v>
      </c>
      <c r="G191">
        <f t="shared" si="11"/>
        <v>-0.4768</v>
      </c>
    </row>
    <row r="192" spans="1:10" x14ac:dyDescent="0.25">
      <c r="A192">
        <v>124.6909</v>
      </c>
      <c r="B192">
        <v>0.08</v>
      </c>
      <c r="C192">
        <v>3.3000000000000002E-2</v>
      </c>
      <c r="D192">
        <v>0.52439999999999998</v>
      </c>
      <c r="E192">
        <f t="shared" si="9"/>
        <v>-0.92</v>
      </c>
      <c r="F192" s="3">
        <f t="shared" si="10"/>
        <v>2.1671826625386973E-2</v>
      </c>
      <c r="G192">
        <f t="shared" si="11"/>
        <v>-0.47560000000000002</v>
      </c>
    </row>
    <row r="193" spans="1:7" x14ac:dyDescent="0.25">
      <c r="A193">
        <v>125.41119999999999</v>
      </c>
      <c r="B193">
        <v>8.1100000000000005E-2</v>
      </c>
      <c r="C193">
        <v>3.3599999999999998E-2</v>
      </c>
      <c r="D193">
        <v>0.52539999999999998</v>
      </c>
      <c r="E193">
        <f t="shared" si="9"/>
        <v>-0.91890000000000005</v>
      </c>
      <c r="F193" s="3">
        <f t="shared" si="10"/>
        <v>1.818181818181807E-2</v>
      </c>
      <c r="G193">
        <f t="shared" si="11"/>
        <v>-0.47460000000000002</v>
      </c>
    </row>
    <row r="194" spans="1:7" x14ac:dyDescent="0.25">
      <c r="A194">
        <v>126.13160000000001</v>
      </c>
      <c r="B194">
        <v>8.2199999999999995E-2</v>
      </c>
      <c r="C194">
        <v>3.4299999999999997E-2</v>
      </c>
      <c r="D194">
        <v>0.52649999999999997</v>
      </c>
      <c r="E194">
        <f t="shared" si="9"/>
        <v>-0.91779999999999995</v>
      </c>
      <c r="F194" s="3">
        <f t="shared" si="10"/>
        <v>2.0833333333333311E-2</v>
      </c>
      <c r="G194">
        <f t="shared" si="11"/>
        <v>-0.47350000000000003</v>
      </c>
    </row>
    <row r="195" spans="1:7" x14ac:dyDescent="0.25">
      <c r="A195">
        <v>126.8519</v>
      </c>
      <c r="B195">
        <v>8.3299999999999999E-2</v>
      </c>
      <c r="C195">
        <v>3.49E-2</v>
      </c>
      <c r="D195">
        <v>0.52749999999999997</v>
      </c>
      <c r="E195">
        <f t="shared" si="9"/>
        <v>-0.91669999999999996</v>
      </c>
      <c r="F195" s="3">
        <f t="shared" si="10"/>
        <v>1.7492711370262488E-2</v>
      </c>
      <c r="G195">
        <f t="shared" si="11"/>
        <v>-0.47250000000000003</v>
      </c>
    </row>
    <row r="196" spans="1:7" x14ac:dyDescent="0.25">
      <c r="A196">
        <v>127.5722</v>
      </c>
      <c r="B196">
        <v>8.43E-2</v>
      </c>
      <c r="C196">
        <v>3.5499999999999997E-2</v>
      </c>
      <c r="D196">
        <v>0.52859999999999996</v>
      </c>
      <c r="E196">
        <f t="shared" si="9"/>
        <v>-0.91569999999999996</v>
      </c>
      <c r="F196" s="3">
        <f t="shared" si="10"/>
        <v>1.7191977077363793E-2</v>
      </c>
      <c r="G196">
        <f t="shared" si="11"/>
        <v>-0.47140000000000004</v>
      </c>
    </row>
    <row r="197" spans="1:7" x14ac:dyDescent="0.25">
      <c r="A197">
        <v>128.3828</v>
      </c>
      <c r="B197">
        <v>8.5500000000000007E-2</v>
      </c>
      <c r="C197">
        <v>3.6299999999999999E-2</v>
      </c>
      <c r="D197">
        <v>0.52969999999999995</v>
      </c>
      <c r="E197">
        <f t="shared" si="9"/>
        <v>-0.91449999999999998</v>
      </c>
      <c r="F197" s="3">
        <f t="shared" si="10"/>
        <v>2.2535211267605694E-2</v>
      </c>
      <c r="G197">
        <f t="shared" si="11"/>
        <v>-0.47030000000000005</v>
      </c>
    </row>
    <row r="198" spans="1:7" x14ac:dyDescent="0.25">
      <c r="A198">
        <v>129.1934</v>
      </c>
      <c r="B198">
        <v>8.6699999999999999E-2</v>
      </c>
      <c r="C198">
        <v>3.6999999999999998E-2</v>
      </c>
      <c r="D198">
        <v>0.53090000000000004</v>
      </c>
      <c r="E198">
        <f t="shared" ref="E198:E261" si="14">B198-B197/B197</f>
        <v>-0.9133</v>
      </c>
      <c r="F198" s="3">
        <f t="shared" ref="F198:F261" si="15">(C198-C197)/MAX(0.000000001,C197)</f>
        <v>1.9283746556473809E-2</v>
      </c>
      <c r="G198">
        <f t="shared" ref="G198:G261" si="16">D198-D197/D197</f>
        <v>-0.46909999999999996</v>
      </c>
    </row>
    <row r="199" spans="1:7" x14ac:dyDescent="0.25">
      <c r="A199">
        <v>130.00399999999999</v>
      </c>
      <c r="B199">
        <v>8.7800000000000003E-2</v>
      </c>
      <c r="C199">
        <v>3.7699999999999997E-2</v>
      </c>
      <c r="D199">
        <v>0.53200000000000003</v>
      </c>
      <c r="E199">
        <f t="shared" si="14"/>
        <v>-0.91220000000000001</v>
      </c>
      <c r="F199" s="3">
        <f t="shared" si="15"/>
        <v>1.8918918918918899E-2</v>
      </c>
      <c r="G199">
        <f t="shared" si="16"/>
        <v>-0.46799999999999997</v>
      </c>
    </row>
    <row r="200" spans="1:7" x14ac:dyDescent="0.25">
      <c r="A200">
        <v>130.81460000000001</v>
      </c>
      <c r="B200">
        <v>8.8900000000000007E-2</v>
      </c>
      <c r="C200">
        <v>3.8399999999999997E-2</v>
      </c>
      <c r="D200">
        <v>0.53310000000000002</v>
      </c>
      <c r="E200">
        <f t="shared" si="14"/>
        <v>-0.91110000000000002</v>
      </c>
      <c r="F200" s="3">
        <f t="shared" si="15"/>
        <v>1.8567639257294412E-2</v>
      </c>
      <c r="G200">
        <f t="shared" si="16"/>
        <v>-0.46689999999999998</v>
      </c>
    </row>
    <row r="201" spans="1:7" x14ac:dyDescent="0.25">
      <c r="A201">
        <v>131.6883</v>
      </c>
      <c r="B201">
        <v>9.01E-2</v>
      </c>
      <c r="C201">
        <v>3.9199999999999999E-2</v>
      </c>
      <c r="D201">
        <v>0.5343</v>
      </c>
      <c r="E201">
        <f t="shared" si="14"/>
        <v>-0.90990000000000004</v>
      </c>
      <c r="F201" s="3">
        <f t="shared" si="15"/>
        <v>2.0833333333333391E-2</v>
      </c>
      <c r="G201">
        <f t="shared" si="16"/>
        <v>-0.4657</v>
      </c>
    </row>
    <row r="202" spans="1:7" x14ac:dyDescent="0.25">
      <c r="A202">
        <v>132.56190000000001</v>
      </c>
      <c r="B202">
        <v>9.1300000000000006E-2</v>
      </c>
      <c r="C202">
        <v>0.04</v>
      </c>
      <c r="D202">
        <v>0.53549999999999998</v>
      </c>
      <c r="E202">
        <f t="shared" si="14"/>
        <v>-0.90869999999999995</v>
      </c>
      <c r="F202" s="3">
        <f t="shared" si="15"/>
        <v>2.0408163265306176E-2</v>
      </c>
      <c r="G202">
        <f t="shared" si="16"/>
        <v>-0.46450000000000002</v>
      </c>
    </row>
    <row r="203" spans="1:7" x14ac:dyDescent="0.25">
      <c r="A203">
        <v>133.43559999999999</v>
      </c>
      <c r="B203">
        <v>9.2399999999999996E-2</v>
      </c>
      <c r="C203">
        <v>4.07E-2</v>
      </c>
      <c r="D203">
        <v>0.53669999999999995</v>
      </c>
      <c r="E203">
        <f t="shared" si="14"/>
        <v>-0.90759999999999996</v>
      </c>
      <c r="F203" s="3">
        <f t="shared" si="15"/>
        <v>1.7499999999999981E-2</v>
      </c>
      <c r="G203">
        <f t="shared" si="16"/>
        <v>-0.46330000000000005</v>
      </c>
    </row>
    <row r="204" spans="1:7" x14ac:dyDescent="0.25">
      <c r="A204">
        <v>134.3092</v>
      </c>
      <c r="B204">
        <v>9.3600000000000003E-2</v>
      </c>
      <c r="C204">
        <v>4.1500000000000002E-2</v>
      </c>
      <c r="D204">
        <v>0.53779999999999994</v>
      </c>
      <c r="E204">
        <f t="shared" si="14"/>
        <v>-0.90639999999999998</v>
      </c>
      <c r="F204" s="3">
        <f t="shared" si="15"/>
        <v>1.9656019656019708E-2</v>
      </c>
      <c r="G204">
        <f t="shared" si="16"/>
        <v>-0.46220000000000006</v>
      </c>
    </row>
    <row r="205" spans="1:7" x14ac:dyDescent="0.25">
      <c r="A205">
        <v>135.19149999999999</v>
      </c>
      <c r="B205">
        <v>9.4700000000000006E-2</v>
      </c>
      <c r="C205">
        <v>4.2200000000000001E-2</v>
      </c>
      <c r="D205">
        <v>0.53900000000000003</v>
      </c>
      <c r="E205">
        <f t="shared" si="14"/>
        <v>-0.90529999999999999</v>
      </c>
      <c r="F205" s="3">
        <f t="shared" si="15"/>
        <v>1.6867469879518052E-2</v>
      </c>
      <c r="G205">
        <f t="shared" si="16"/>
        <v>-0.46099999999999997</v>
      </c>
    </row>
    <row r="206" spans="1:7" x14ac:dyDescent="0.25">
      <c r="A206">
        <v>136.07380000000001</v>
      </c>
      <c r="B206">
        <v>9.5799999999999996E-2</v>
      </c>
      <c r="C206">
        <v>4.2900000000000001E-2</v>
      </c>
      <c r="D206">
        <v>0.54010000000000002</v>
      </c>
      <c r="E206">
        <f t="shared" si="14"/>
        <v>-0.9042</v>
      </c>
      <c r="F206" s="3">
        <f t="shared" si="15"/>
        <v>1.6587677725118464E-2</v>
      </c>
      <c r="G206">
        <f t="shared" si="16"/>
        <v>-0.45989999999999998</v>
      </c>
    </row>
    <row r="207" spans="1:7" x14ac:dyDescent="0.25">
      <c r="A207">
        <v>136.95609999999999</v>
      </c>
      <c r="B207">
        <v>9.6799999999999997E-2</v>
      </c>
      <c r="C207">
        <v>4.3700000000000003E-2</v>
      </c>
      <c r="D207">
        <v>0.5413</v>
      </c>
      <c r="E207">
        <f t="shared" si="14"/>
        <v>-0.9032</v>
      </c>
      <c r="F207" s="3">
        <f t="shared" si="15"/>
        <v>1.8648018648018697E-2</v>
      </c>
      <c r="G207">
        <f t="shared" si="16"/>
        <v>-0.4587</v>
      </c>
    </row>
    <row r="208" spans="1:7" x14ac:dyDescent="0.25">
      <c r="A208">
        <v>137.83840000000001</v>
      </c>
      <c r="B208">
        <v>9.7900000000000001E-2</v>
      </c>
      <c r="C208">
        <v>4.4400000000000002E-2</v>
      </c>
      <c r="D208">
        <v>0.54239999999999999</v>
      </c>
      <c r="E208">
        <f t="shared" si="14"/>
        <v>-0.90210000000000001</v>
      </c>
      <c r="F208" s="3">
        <f t="shared" si="15"/>
        <v>1.601830663615559E-2</v>
      </c>
      <c r="G208">
        <f t="shared" si="16"/>
        <v>-0.45760000000000001</v>
      </c>
    </row>
    <row r="209" spans="1:9" x14ac:dyDescent="0.25">
      <c r="A209">
        <v>138.69329999999999</v>
      </c>
      <c r="B209">
        <v>9.8900000000000002E-2</v>
      </c>
      <c r="C209">
        <v>4.5100000000000001E-2</v>
      </c>
      <c r="D209">
        <v>0.54339999999999999</v>
      </c>
      <c r="E209">
        <f t="shared" si="14"/>
        <v>-0.90110000000000001</v>
      </c>
      <c r="F209" s="3">
        <f t="shared" si="15"/>
        <v>1.5765765765765747E-2</v>
      </c>
      <c r="G209">
        <f t="shared" si="16"/>
        <v>-0.45660000000000001</v>
      </c>
    </row>
    <row r="210" spans="1:9" x14ac:dyDescent="0.25">
      <c r="A210">
        <v>139.54830000000001</v>
      </c>
      <c r="B210">
        <v>9.98E-2</v>
      </c>
      <c r="C210">
        <v>4.58E-2</v>
      </c>
      <c r="D210">
        <v>0.54449999999999998</v>
      </c>
      <c r="E210">
        <f t="shared" si="14"/>
        <v>-0.9002</v>
      </c>
      <c r="F210" s="3">
        <f t="shared" si="15"/>
        <v>1.5521064301552088E-2</v>
      </c>
      <c r="G210">
        <f t="shared" si="16"/>
        <v>-0.45550000000000002</v>
      </c>
    </row>
    <row r="211" spans="1:9" x14ac:dyDescent="0.25">
      <c r="A211">
        <v>140.4032</v>
      </c>
      <c r="B211">
        <v>0.1008</v>
      </c>
      <c r="C211">
        <v>4.65E-2</v>
      </c>
      <c r="D211">
        <v>0.54549999999999998</v>
      </c>
      <c r="E211">
        <f t="shared" si="14"/>
        <v>-0.8992</v>
      </c>
      <c r="F211" s="3">
        <f t="shared" si="15"/>
        <v>1.5283842794759809E-2</v>
      </c>
      <c r="G211">
        <f t="shared" si="16"/>
        <v>-0.45450000000000002</v>
      </c>
    </row>
    <row r="212" spans="1:9" x14ac:dyDescent="0.25">
      <c r="A212">
        <v>141.25810000000001</v>
      </c>
      <c r="B212">
        <v>0.1017</v>
      </c>
      <c r="C212">
        <v>4.7100000000000003E-2</v>
      </c>
      <c r="D212">
        <v>0.54659999999999997</v>
      </c>
      <c r="E212">
        <f t="shared" si="14"/>
        <v>-0.89829999999999999</v>
      </c>
      <c r="F212" s="3">
        <f t="shared" si="15"/>
        <v>1.2903225806451684E-2</v>
      </c>
      <c r="G212">
        <f t="shared" si="16"/>
        <v>-0.45340000000000003</v>
      </c>
    </row>
    <row r="213" spans="1:9" x14ac:dyDescent="0.25">
      <c r="A213">
        <v>142.0814</v>
      </c>
      <c r="B213">
        <v>0.1026</v>
      </c>
      <c r="C213">
        <v>4.7800000000000002E-2</v>
      </c>
      <c r="D213">
        <v>0.54759999999999998</v>
      </c>
      <c r="E213">
        <f t="shared" si="14"/>
        <v>-0.89739999999999998</v>
      </c>
      <c r="F213" s="3">
        <f t="shared" si="15"/>
        <v>1.4861995753715482E-2</v>
      </c>
      <c r="G213">
        <f t="shared" si="16"/>
        <v>-0.45240000000000002</v>
      </c>
    </row>
    <row r="214" spans="1:9" x14ac:dyDescent="0.25">
      <c r="A214">
        <v>142.90469999999999</v>
      </c>
      <c r="B214">
        <v>0.10340000000000001</v>
      </c>
      <c r="C214">
        <v>4.8399999999999999E-2</v>
      </c>
      <c r="D214">
        <v>0.54849999999999999</v>
      </c>
      <c r="E214">
        <f t="shared" si="14"/>
        <v>-0.89659999999999995</v>
      </c>
      <c r="F214" s="3">
        <f t="shared" si="15"/>
        <v>1.2552301255230049E-2</v>
      </c>
      <c r="G214">
        <f t="shared" si="16"/>
        <v>-0.45150000000000001</v>
      </c>
    </row>
    <row r="215" spans="1:9" x14ac:dyDescent="0.25">
      <c r="A215">
        <v>143.72800000000001</v>
      </c>
      <c r="B215">
        <v>0.1043</v>
      </c>
      <c r="C215">
        <v>4.9000000000000002E-2</v>
      </c>
      <c r="D215">
        <v>0.54949999999999999</v>
      </c>
      <c r="E215">
        <f t="shared" si="14"/>
        <v>-0.89569999999999994</v>
      </c>
      <c r="F215" s="3">
        <f t="shared" si="15"/>
        <v>1.2396694214876101E-2</v>
      </c>
      <c r="G215">
        <f t="shared" si="16"/>
        <v>-0.45050000000000001</v>
      </c>
    </row>
    <row r="216" spans="1:9" x14ac:dyDescent="0.25">
      <c r="A216">
        <v>144.5513</v>
      </c>
      <c r="B216">
        <v>0.1051</v>
      </c>
      <c r="C216">
        <v>4.9599999999999998E-2</v>
      </c>
      <c r="D216">
        <v>0.55049999999999999</v>
      </c>
      <c r="E216">
        <f t="shared" si="14"/>
        <v>-0.89490000000000003</v>
      </c>
      <c r="F216" s="3">
        <f t="shared" si="15"/>
        <v>1.2244897959183598E-2</v>
      </c>
      <c r="G216">
        <f t="shared" si="16"/>
        <v>-0.44950000000000001</v>
      </c>
    </row>
    <row r="217" spans="1:9" x14ac:dyDescent="0.25">
      <c r="A217">
        <v>145.36590000000001</v>
      </c>
      <c r="B217">
        <v>0.10589999999999999</v>
      </c>
      <c r="C217">
        <v>5.0200000000000002E-2</v>
      </c>
      <c r="D217">
        <v>0.5514</v>
      </c>
      <c r="E217">
        <f t="shared" si="14"/>
        <v>-0.89410000000000001</v>
      </c>
      <c r="F217" s="3">
        <f t="shared" si="15"/>
        <v>1.2096774193548454E-2</v>
      </c>
      <c r="G217">
        <f t="shared" si="16"/>
        <v>-0.4486</v>
      </c>
    </row>
    <row r="218" spans="1:9" x14ac:dyDescent="0.25">
      <c r="A218">
        <v>146.18049999999999</v>
      </c>
      <c r="B218">
        <v>0.1066</v>
      </c>
      <c r="C218">
        <v>5.0799999999999998E-2</v>
      </c>
      <c r="D218">
        <v>0.55230000000000001</v>
      </c>
      <c r="E218">
        <f t="shared" si="14"/>
        <v>-0.89339999999999997</v>
      </c>
      <c r="F218" s="3">
        <f t="shared" si="15"/>
        <v>1.1952191235059688E-2</v>
      </c>
      <c r="G218">
        <f t="shared" si="16"/>
        <v>-0.44769999999999999</v>
      </c>
    </row>
    <row r="219" spans="1:9" x14ac:dyDescent="0.25">
      <c r="A219">
        <v>146.99510000000001</v>
      </c>
      <c r="B219">
        <v>0.1074</v>
      </c>
      <c r="C219">
        <v>5.1299999999999998E-2</v>
      </c>
      <c r="D219">
        <v>0.55320000000000003</v>
      </c>
      <c r="E219">
        <f t="shared" si="14"/>
        <v>-0.89260000000000006</v>
      </c>
      <c r="F219" s="3">
        <f t="shared" si="15"/>
        <v>9.8425196850393786E-3</v>
      </c>
      <c r="G219">
        <f t="shared" si="16"/>
        <v>-0.44679999999999997</v>
      </c>
    </row>
    <row r="220" spans="1:9" x14ac:dyDescent="0.25">
      <c r="A220">
        <v>147.80969999999999</v>
      </c>
      <c r="B220">
        <v>0.1081</v>
      </c>
      <c r="C220">
        <v>5.1900000000000002E-2</v>
      </c>
      <c r="D220">
        <v>0.55420000000000003</v>
      </c>
      <c r="E220">
        <f t="shared" si="14"/>
        <v>-0.89190000000000003</v>
      </c>
      <c r="F220" s="3">
        <f t="shared" si="15"/>
        <v>1.1695906432748603E-2</v>
      </c>
      <c r="G220">
        <f t="shared" si="16"/>
        <v>-0.44579999999999997</v>
      </c>
    </row>
    <row r="221" spans="1:9" x14ac:dyDescent="0.25">
      <c r="A221">
        <v>148.57470000000001</v>
      </c>
      <c r="B221">
        <v>0.10879999999999999</v>
      </c>
      <c r="C221">
        <v>5.2400000000000002E-2</v>
      </c>
      <c r="D221">
        <v>0.55500000000000005</v>
      </c>
      <c r="E221">
        <f t="shared" si="14"/>
        <v>-0.89119999999999999</v>
      </c>
      <c r="F221" s="3">
        <f t="shared" si="15"/>
        <v>9.6339113680154222E-3</v>
      </c>
      <c r="G221">
        <f t="shared" si="16"/>
        <v>-0.44499999999999995</v>
      </c>
    </row>
    <row r="222" spans="1:9" x14ac:dyDescent="0.25">
      <c r="A222">
        <v>149.33969999999999</v>
      </c>
      <c r="B222">
        <v>0.1094</v>
      </c>
      <c r="C222">
        <v>5.2900000000000003E-2</v>
      </c>
      <c r="D222">
        <v>0.55579999999999996</v>
      </c>
      <c r="E222">
        <f t="shared" si="14"/>
        <v>-0.89060000000000006</v>
      </c>
      <c r="F222" s="3">
        <f t="shared" si="15"/>
        <v>9.5419847328244364E-3</v>
      </c>
      <c r="G222">
        <f t="shared" si="16"/>
        <v>-0.44420000000000004</v>
      </c>
    </row>
    <row r="223" spans="1:9" x14ac:dyDescent="0.25">
      <c r="A223">
        <v>150.10470000000001</v>
      </c>
      <c r="B223">
        <v>0.1101</v>
      </c>
      <c r="C223">
        <v>5.3400000000000003E-2</v>
      </c>
      <c r="D223">
        <v>0.55649999999999999</v>
      </c>
      <c r="E223">
        <f t="shared" si="14"/>
        <v>-0.88990000000000002</v>
      </c>
      <c r="F223" s="3">
        <f t="shared" si="15"/>
        <v>9.4517958412098386E-3</v>
      </c>
      <c r="G223">
        <f t="shared" si="16"/>
        <v>-0.44350000000000001</v>
      </c>
      <c r="I223">
        <f>5*365/12</f>
        <v>152.08333333333334</v>
      </c>
    </row>
    <row r="224" spans="1:9" x14ac:dyDescent="0.25">
      <c r="A224">
        <v>150.86969999999999</v>
      </c>
      <c r="B224">
        <v>0.11070000000000001</v>
      </c>
      <c r="C224">
        <v>5.3900000000000003E-2</v>
      </c>
      <c r="D224">
        <v>0.55720000000000003</v>
      </c>
      <c r="E224">
        <f t="shared" si="14"/>
        <v>-0.88929999999999998</v>
      </c>
      <c r="F224" s="3">
        <f t="shared" si="15"/>
        <v>9.36329588014982E-3</v>
      </c>
      <c r="G224">
        <f t="shared" si="16"/>
        <v>-0.44279999999999997</v>
      </c>
    </row>
    <row r="225" spans="1:10" x14ac:dyDescent="0.25">
      <c r="A225">
        <v>151.60419999999999</v>
      </c>
      <c r="B225">
        <v>0.1113</v>
      </c>
      <c r="C225">
        <v>5.4399999999999997E-2</v>
      </c>
      <c r="D225">
        <v>0.55779999999999996</v>
      </c>
      <c r="E225">
        <f t="shared" si="14"/>
        <v>-0.88870000000000005</v>
      </c>
      <c r="F225" s="3">
        <f t="shared" si="15"/>
        <v>9.2764378478662982E-3</v>
      </c>
      <c r="G225">
        <f t="shared" si="16"/>
        <v>-0.44220000000000004</v>
      </c>
      <c r="H225">
        <f>B225</f>
        <v>0.1113</v>
      </c>
      <c r="I225">
        <f t="shared" ref="I225:J225" si="17">C225</f>
        <v>5.4399999999999997E-2</v>
      </c>
      <c r="J225">
        <f t="shared" si="17"/>
        <v>0.55779999999999996</v>
      </c>
    </row>
    <row r="226" spans="1:10" x14ac:dyDescent="0.25">
      <c r="A226">
        <v>152.33869999999999</v>
      </c>
      <c r="B226">
        <v>0.1118</v>
      </c>
      <c r="C226">
        <v>5.4800000000000001E-2</v>
      </c>
      <c r="D226">
        <v>0.55840000000000001</v>
      </c>
      <c r="E226">
        <f t="shared" si="14"/>
        <v>-0.88819999999999999</v>
      </c>
      <c r="F226" s="3">
        <f t="shared" si="15"/>
        <v>7.3529411764706714E-3</v>
      </c>
      <c r="G226">
        <f t="shared" si="16"/>
        <v>-0.44159999999999999</v>
      </c>
    </row>
    <row r="227" spans="1:10" x14ac:dyDescent="0.25">
      <c r="A227">
        <v>153.07329999999999</v>
      </c>
      <c r="B227">
        <v>0.1124</v>
      </c>
      <c r="C227">
        <v>5.5300000000000002E-2</v>
      </c>
      <c r="D227">
        <v>0.55900000000000005</v>
      </c>
      <c r="E227">
        <f t="shared" si="14"/>
        <v>-0.88759999999999994</v>
      </c>
      <c r="F227" s="3">
        <f t="shared" si="15"/>
        <v>9.1240875912408839E-3</v>
      </c>
      <c r="G227">
        <f t="shared" si="16"/>
        <v>-0.44099999999999995</v>
      </c>
    </row>
    <row r="228" spans="1:10" x14ac:dyDescent="0.25">
      <c r="A228">
        <v>153.80779999999999</v>
      </c>
      <c r="B228">
        <v>0.1129</v>
      </c>
      <c r="C228">
        <v>5.57E-2</v>
      </c>
      <c r="D228">
        <v>0.55959999999999999</v>
      </c>
      <c r="E228">
        <f t="shared" si="14"/>
        <v>-0.8871</v>
      </c>
      <c r="F228" s="3">
        <f t="shared" si="15"/>
        <v>7.2332730560578226E-3</v>
      </c>
      <c r="G228">
        <f t="shared" si="16"/>
        <v>-0.44040000000000001</v>
      </c>
    </row>
    <row r="229" spans="1:10" x14ac:dyDescent="0.25">
      <c r="A229">
        <v>154.5402</v>
      </c>
      <c r="B229">
        <v>0.1134</v>
      </c>
      <c r="C229">
        <v>5.6099999999999997E-2</v>
      </c>
      <c r="D229">
        <v>0.56020000000000003</v>
      </c>
      <c r="E229">
        <f t="shared" si="14"/>
        <v>-0.88660000000000005</v>
      </c>
      <c r="F229" s="3">
        <f t="shared" si="15"/>
        <v>7.1813285457809264E-3</v>
      </c>
      <c r="G229">
        <f t="shared" si="16"/>
        <v>-0.43979999999999997</v>
      </c>
    </row>
    <row r="230" spans="1:10" x14ac:dyDescent="0.25">
      <c r="A230">
        <v>155.27269999999999</v>
      </c>
      <c r="B230">
        <v>0.1139</v>
      </c>
      <c r="C230">
        <v>5.6599999999999998E-2</v>
      </c>
      <c r="D230">
        <v>0.56079999999999997</v>
      </c>
      <c r="E230">
        <f t="shared" si="14"/>
        <v>-0.8861</v>
      </c>
      <c r="F230" s="3">
        <f t="shared" si="15"/>
        <v>8.9126559714795099E-3</v>
      </c>
      <c r="G230">
        <f t="shared" si="16"/>
        <v>-0.43920000000000003</v>
      </c>
    </row>
    <row r="231" spans="1:10" x14ac:dyDescent="0.25">
      <c r="A231">
        <v>156.0051</v>
      </c>
      <c r="B231">
        <v>0.1144</v>
      </c>
      <c r="C231">
        <v>5.7000000000000002E-2</v>
      </c>
      <c r="D231">
        <v>0.56140000000000001</v>
      </c>
      <c r="E231">
        <f t="shared" si="14"/>
        <v>-0.88559999999999994</v>
      </c>
      <c r="F231" s="3">
        <f t="shared" si="15"/>
        <v>7.0671378091873597E-3</v>
      </c>
      <c r="G231">
        <f t="shared" si="16"/>
        <v>-0.43859999999999999</v>
      </c>
    </row>
    <row r="232" spans="1:10" x14ac:dyDescent="0.25">
      <c r="A232">
        <v>156.73750000000001</v>
      </c>
      <c r="B232">
        <v>0.1149</v>
      </c>
      <c r="C232">
        <v>5.74E-2</v>
      </c>
      <c r="D232">
        <v>0.56200000000000006</v>
      </c>
      <c r="E232">
        <f t="shared" si="14"/>
        <v>-0.8851</v>
      </c>
      <c r="F232" s="3">
        <f t="shared" si="15"/>
        <v>7.0175438596490804E-3</v>
      </c>
      <c r="G232">
        <f t="shared" si="16"/>
        <v>-0.43799999999999994</v>
      </c>
    </row>
    <row r="233" spans="1:10" x14ac:dyDescent="0.25">
      <c r="A233">
        <v>157.48660000000001</v>
      </c>
      <c r="B233">
        <v>0.1154</v>
      </c>
      <c r="C233">
        <v>5.7799999999999997E-2</v>
      </c>
      <c r="D233">
        <v>0.56259999999999999</v>
      </c>
      <c r="E233">
        <f t="shared" si="14"/>
        <v>-0.88460000000000005</v>
      </c>
      <c r="F233" s="3">
        <f t="shared" si="15"/>
        <v>6.9686411149825359E-3</v>
      </c>
      <c r="G233">
        <f t="shared" si="16"/>
        <v>-0.43740000000000001</v>
      </c>
    </row>
    <row r="234" spans="1:10" x14ac:dyDescent="0.25">
      <c r="A234">
        <v>158.23570000000001</v>
      </c>
      <c r="B234">
        <v>0.1159</v>
      </c>
      <c r="C234">
        <v>5.8200000000000002E-2</v>
      </c>
      <c r="D234">
        <v>0.56310000000000004</v>
      </c>
      <c r="E234">
        <f t="shared" si="14"/>
        <v>-0.8841</v>
      </c>
      <c r="F234" s="3">
        <f t="shared" si="15"/>
        <v>6.9204152249135731E-3</v>
      </c>
      <c r="G234">
        <f t="shared" si="16"/>
        <v>-0.43689999999999996</v>
      </c>
    </row>
    <row r="235" spans="1:10" x14ac:dyDescent="0.25">
      <c r="A235">
        <v>158.9847</v>
      </c>
      <c r="B235">
        <v>0.1163</v>
      </c>
      <c r="C235">
        <v>5.8599999999999999E-2</v>
      </c>
      <c r="D235">
        <v>0.56369999999999998</v>
      </c>
      <c r="E235">
        <f t="shared" si="14"/>
        <v>-0.88370000000000004</v>
      </c>
      <c r="F235" s="3">
        <f t="shared" si="15"/>
        <v>6.8728522336769342E-3</v>
      </c>
      <c r="G235">
        <f t="shared" si="16"/>
        <v>-0.43630000000000002</v>
      </c>
    </row>
    <row r="236" spans="1:10" x14ac:dyDescent="0.25">
      <c r="A236">
        <v>159.7338</v>
      </c>
      <c r="B236">
        <v>0.1168</v>
      </c>
      <c r="C236">
        <v>5.8900000000000001E-2</v>
      </c>
      <c r="D236">
        <v>0.56430000000000002</v>
      </c>
      <c r="E236">
        <f t="shared" si="14"/>
        <v>-0.88319999999999999</v>
      </c>
      <c r="F236" s="3">
        <f t="shared" si="15"/>
        <v>5.1194539249147042E-3</v>
      </c>
      <c r="G236">
        <f t="shared" si="16"/>
        <v>-0.43569999999999998</v>
      </c>
    </row>
    <row r="237" spans="1:10" x14ac:dyDescent="0.25">
      <c r="A237">
        <v>160.4872</v>
      </c>
      <c r="B237">
        <v>0.1172</v>
      </c>
      <c r="C237">
        <v>5.9299999999999999E-2</v>
      </c>
      <c r="D237">
        <v>0.56489999999999996</v>
      </c>
      <c r="E237">
        <f t="shared" si="14"/>
        <v>-0.88280000000000003</v>
      </c>
      <c r="F237" s="3">
        <f t="shared" si="15"/>
        <v>6.7911714770797554E-3</v>
      </c>
      <c r="G237">
        <f t="shared" si="16"/>
        <v>-0.43510000000000004</v>
      </c>
    </row>
    <row r="238" spans="1:10" x14ac:dyDescent="0.25">
      <c r="A238">
        <v>161.2406</v>
      </c>
      <c r="B238">
        <v>0.1176</v>
      </c>
      <c r="C238">
        <v>5.9700000000000003E-2</v>
      </c>
      <c r="D238">
        <v>0.56540000000000001</v>
      </c>
      <c r="E238">
        <f t="shared" si="14"/>
        <v>-0.88239999999999996</v>
      </c>
      <c r="F238" s="3">
        <f t="shared" si="15"/>
        <v>6.74536256323785E-3</v>
      </c>
      <c r="G238">
        <f t="shared" si="16"/>
        <v>-0.43459999999999999</v>
      </c>
    </row>
    <row r="239" spans="1:10" x14ac:dyDescent="0.25">
      <c r="A239">
        <v>161.9941</v>
      </c>
      <c r="B239">
        <v>0.11799999999999999</v>
      </c>
      <c r="C239">
        <v>0.06</v>
      </c>
      <c r="D239">
        <v>0.56599999999999995</v>
      </c>
      <c r="E239">
        <f t="shared" si="14"/>
        <v>-0.88200000000000001</v>
      </c>
      <c r="F239" s="3">
        <f t="shared" si="15"/>
        <v>5.0251256281406151E-3</v>
      </c>
      <c r="G239">
        <f t="shared" si="16"/>
        <v>-0.43400000000000005</v>
      </c>
    </row>
    <row r="240" spans="1:10" x14ac:dyDescent="0.25">
      <c r="A240">
        <v>162.7475</v>
      </c>
      <c r="B240">
        <v>0.11840000000000001</v>
      </c>
      <c r="C240">
        <v>6.0400000000000002E-2</v>
      </c>
      <c r="D240">
        <v>0.56659999999999999</v>
      </c>
      <c r="E240">
        <f t="shared" si="14"/>
        <v>-0.88159999999999994</v>
      </c>
      <c r="F240" s="3">
        <f t="shared" si="15"/>
        <v>6.6666666666667426E-3</v>
      </c>
      <c r="G240">
        <f t="shared" si="16"/>
        <v>-0.43340000000000001</v>
      </c>
    </row>
    <row r="241" spans="1:7" x14ac:dyDescent="0.25">
      <c r="A241">
        <v>163.4982</v>
      </c>
      <c r="B241">
        <v>0.1188</v>
      </c>
      <c r="C241">
        <v>6.0699999999999997E-2</v>
      </c>
      <c r="D241">
        <v>0.56710000000000005</v>
      </c>
      <c r="E241">
        <f t="shared" si="14"/>
        <v>-0.88119999999999998</v>
      </c>
      <c r="F241" s="3">
        <f t="shared" si="15"/>
        <v>4.9668874172184557E-3</v>
      </c>
      <c r="G241">
        <f t="shared" si="16"/>
        <v>-0.43289999999999995</v>
      </c>
    </row>
    <row r="242" spans="1:7" x14ac:dyDescent="0.25">
      <c r="A242">
        <v>164.249</v>
      </c>
      <c r="B242">
        <v>0.1192</v>
      </c>
      <c r="C242">
        <v>6.1100000000000002E-2</v>
      </c>
      <c r="D242">
        <v>0.56769999999999998</v>
      </c>
      <c r="E242">
        <f t="shared" si="14"/>
        <v>-0.88080000000000003</v>
      </c>
      <c r="F242" s="3">
        <f t="shared" si="15"/>
        <v>6.589785831960536E-3</v>
      </c>
      <c r="G242">
        <f t="shared" si="16"/>
        <v>-0.43230000000000002</v>
      </c>
    </row>
    <row r="243" spans="1:7" x14ac:dyDescent="0.25">
      <c r="A243">
        <v>164.99979999999999</v>
      </c>
      <c r="B243">
        <v>0.1196</v>
      </c>
      <c r="C243">
        <v>6.1400000000000003E-2</v>
      </c>
      <c r="D243">
        <v>0.56820000000000004</v>
      </c>
      <c r="E243">
        <f t="shared" si="14"/>
        <v>-0.88039999999999996</v>
      </c>
      <c r="F243" s="3">
        <f t="shared" si="15"/>
        <v>4.9099836333879156E-3</v>
      </c>
      <c r="G243">
        <f t="shared" si="16"/>
        <v>-0.43179999999999996</v>
      </c>
    </row>
    <row r="244" spans="1:7" x14ac:dyDescent="0.25">
      <c r="A244">
        <v>165.75059999999999</v>
      </c>
      <c r="B244">
        <v>0.11990000000000001</v>
      </c>
      <c r="C244">
        <v>6.1699999999999998E-2</v>
      </c>
      <c r="D244">
        <v>0.56879999999999997</v>
      </c>
      <c r="E244">
        <f t="shared" si="14"/>
        <v>-0.88009999999999999</v>
      </c>
      <c r="F244" s="3">
        <f t="shared" si="15"/>
        <v>4.8859934853419332E-3</v>
      </c>
      <c r="G244">
        <f t="shared" si="16"/>
        <v>-0.43120000000000003</v>
      </c>
    </row>
    <row r="245" spans="1:7" x14ac:dyDescent="0.25">
      <c r="A245">
        <v>166.50370000000001</v>
      </c>
      <c r="B245">
        <v>0.1203</v>
      </c>
      <c r="C245">
        <v>6.2E-2</v>
      </c>
      <c r="D245">
        <v>0.56930000000000003</v>
      </c>
      <c r="E245">
        <f t="shared" si="14"/>
        <v>-0.87970000000000004</v>
      </c>
      <c r="F245" s="3">
        <f t="shared" si="15"/>
        <v>4.862236628849298E-3</v>
      </c>
      <c r="G245">
        <f t="shared" si="16"/>
        <v>-0.43069999999999997</v>
      </c>
    </row>
    <row r="246" spans="1:7" x14ac:dyDescent="0.25">
      <c r="A246">
        <v>167.2568</v>
      </c>
      <c r="B246">
        <v>0.1206</v>
      </c>
      <c r="C246">
        <v>6.2300000000000001E-2</v>
      </c>
      <c r="D246">
        <v>0.56989999999999996</v>
      </c>
      <c r="E246">
        <f t="shared" si="14"/>
        <v>-0.87939999999999996</v>
      </c>
      <c r="F246" s="3">
        <f t="shared" si="15"/>
        <v>4.8387096774193819E-3</v>
      </c>
      <c r="G246">
        <f t="shared" si="16"/>
        <v>-0.43010000000000004</v>
      </c>
    </row>
    <row r="247" spans="1:7" x14ac:dyDescent="0.25">
      <c r="A247">
        <v>168.00989999999999</v>
      </c>
      <c r="B247">
        <v>0.12089999999999999</v>
      </c>
      <c r="C247">
        <v>6.2600000000000003E-2</v>
      </c>
      <c r="D247">
        <v>0.57040000000000002</v>
      </c>
      <c r="E247">
        <f t="shared" si="14"/>
        <v>-0.87909999999999999</v>
      </c>
      <c r="F247" s="3">
        <f t="shared" si="15"/>
        <v>4.8154093097913589E-3</v>
      </c>
      <c r="G247">
        <f t="shared" si="16"/>
        <v>-0.42959999999999998</v>
      </c>
    </row>
    <row r="248" spans="1:7" x14ac:dyDescent="0.25">
      <c r="A248">
        <v>168.76300000000001</v>
      </c>
      <c r="B248">
        <v>0.1212</v>
      </c>
      <c r="C248">
        <v>6.2899999999999998E-2</v>
      </c>
      <c r="D248">
        <v>0.57099999999999995</v>
      </c>
      <c r="E248">
        <f t="shared" si="14"/>
        <v>-0.87880000000000003</v>
      </c>
      <c r="F248" s="3">
        <f t="shared" si="15"/>
        <v>4.7923322683705227E-3</v>
      </c>
      <c r="G248">
        <f t="shared" si="16"/>
        <v>-0.42900000000000005</v>
      </c>
    </row>
    <row r="249" spans="1:7" x14ac:dyDescent="0.25">
      <c r="A249">
        <v>169.52590000000001</v>
      </c>
      <c r="B249">
        <v>0.1215</v>
      </c>
      <c r="C249">
        <v>6.3200000000000006E-2</v>
      </c>
      <c r="D249">
        <v>0.57150000000000001</v>
      </c>
      <c r="E249">
        <f t="shared" si="14"/>
        <v>-0.87850000000000006</v>
      </c>
      <c r="F249" s="3">
        <f t="shared" si="15"/>
        <v>4.7694753577107885E-3</v>
      </c>
      <c r="G249">
        <f t="shared" si="16"/>
        <v>-0.42849999999999999</v>
      </c>
    </row>
    <row r="250" spans="1:7" x14ac:dyDescent="0.25">
      <c r="A250">
        <v>170.28870000000001</v>
      </c>
      <c r="B250">
        <v>0.12180000000000001</v>
      </c>
      <c r="C250">
        <v>6.3500000000000001E-2</v>
      </c>
      <c r="D250">
        <v>0.57199999999999995</v>
      </c>
      <c r="E250">
        <f t="shared" si="14"/>
        <v>-0.87819999999999998</v>
      </c>
      <c r="F250" s="3">
        <f t="shared" si="15"/>
        <v>4.7468354430378907E-3</v>
      </c>
      <c r="G250">
        <f t="shared" si="16"/>
        <v>-0.42800000000000005</v>
      </c>
    </row>
    <row r="251" spans="1:7" x14ac:dyDescent="0.25">
      <c r="A251">
        <v>171.05160000000001</v>
      </c>
      <c r="B251">
        <v>0.1221</v>
      </c>
      <c r="C251">
        <v>6.3700000000000007E-2</v>
      </c>
      <c r="D251">
        <v>0.5726</v>
      </c>
      <c r="E251">
        <f t="shared" si="14"/>
        <v>-0.87790000000000001</v>
      </c>
      <c r="F251" s="3">
        <f t="shared" si="15"/>
        <v>3.1496062992126886E-3</v>
      </c>
      <c r="G251">
        <f t="shared" si="16"/>
        <v>-0.4274</v>
      </c>
    </row>
    <row r="252" spans="1:7" x14ac:dyDescent="0.25">
      <c r="A252">
        <v>171.81450000000001</v>
      </c>
      <c r="B252">
        <v>0.12239999999999999</v>
      </c>
      <c r="C252">
        <v>6.4000000000000001E-2</v>
      </c>
      <c r="D252">
        <v>0.57310000000000005</v>
      </c>
      <c r="E252">
        <f t="shared" si="14"/>
        <v>-0.87760000000000005</v>
      </c>
      <c r="F252" s="3">
        <f t="shared" si="15"/>
        <v>4.7095761381474831E-3</v>
      </c>
      <c r="G252">
        <f t="shared" si="16"/>
        <v>-0.42689999999999995</v>
      </c>
    </row>
    <row r="253" spans="1:7" x14ac:dyDescent="0.25">
      <c r="A253">
        <v>172.58789999999999</v>
      </c>
      <c r="B253">
        <v>0.1227</v>
      </c>
      <c r="C253">
        <v>6.4299999999999996E-2</v>
      </c>
      <c r="D253">
        <v>0.5736</v>
      </c>
      <c r="E253">
        <f t="shared" si="14"/>
        <v>-0.87729999999999997</v>
      </c>
      <c r="F253" s="3">
        <f t="shared" si="15"/>
        <v>4.6874999999999174E-3</v>
      </c>
      <c r="G253">
        <f t="shared" si="16"/>
        <v>-0.4264</v>
      </c>
    </row>
    <row r="254" spans="1:7" x14ac:dyDescent="0.25">
      <c r="A254">
        <v>173.3613</v>
      </c>
      <c r="B254">
        <v>0.123</v>
      </c>
      <c r="C254">
        <v>6.4500000000000002E-2</v>
      </c>
      <c r="D254">
        <v>0.57420000000000004</v>
      </c>
      <c r="E254">
        <f t="shared" si="14"/>
        <v>-0.877</v>
      </c>
      <c r="F254" s="3">
        <f t="shared" si="15"/>
        <v>3.1104199066874921E-3</v>
      </c>
      <c r="G254">
        <f t="shared" si="16"/>
        <v>-0.42579999999999996</v>
      </c>
    </row>
    <row r="255" spans="1:7" x14ac:dyDescent="0.25">
      <c r="A255">
        <v>174.13480000000001</v>
      </c>
      <c r="B255">
        <v>0.1232</v>
      </c>
      <c r="C255">
        <v>6.4799999999999996E-2</v>
      </c>
      <c r="D255">
        <v>0.57469999999999999</v>
      </c>
      <c r="E255">
        <f t="shared" si="14"/>
        <v>-0.87680000000000002</v>
      </c>
      <c r="F255" s="3">
        <f t="shared" si="15"/>
        <v>4.651162790697592E-3</v>
      </c>
      <c r="G255">
        <f t="shared" si="16"/>
        <v>-0.42530000000000001</v>
      </c>
    </row>
    <row r="256" spans="1:7" x14ac:dyDescent="0.25">
      <c r="A256">
        <v>174.90819999999999</v>
      </c>
      <c r="B256">
        <v>0.1235</v>
      </c>
      <c r="C256">
        <v>6.5000000000000002E-2</v>
      </c>
      <c r="D256">
        <v>0.57520000000000004</v>
      </c>
      <c r="E256">
        <f t="shared" si="14"/>
        <v>-0.87650000000000006</v>
      </c>
      <c r="F256" s="3">
        <f t="shared" si="15"/>
        <v>3.0864197530865085E-3</v>
      </c>
      <c r="G256">
        <f t="shared" si="16"/>
        <v>-0.42479999999999996</v>
      </c>
    </row>
    <row r="257" spans="1:10" x14ac:dyDescent="0.25">
      <c r="A257">
        <v>175.6876</v>
      </c>
      <c r="B257">
        <v>0.1237</v>
      </c>
      <c r="C257">
        <v>6.5199999999999994E-2</v>
      </c>
      <c r="D257">
        <v>0.57569999999999999</v>
      </c>
      <c r="E257">
        <f t="shared" si="14"/>
        <v>-0.87629999999999997</v>
      </c>
      <c r="F257" s="3">
        <f t="shared" si="15"/>
        <v>3.0769230769229516E-3</v>
      </c>
      <c r="G257">
        <f t="shared" si="16"/>
        <v>-0.42430000000000001</v>
      </c>
    </row>
    <row r="258" spans="1:10" x14ac:dyDescent="0.25">
      <c r="A258">
        <v>176.46690000000001</v>
      </c>
      <c r="B258">
        <v>0.124</v>
      </c>
      <c r="C258">
        <v>6.5500000000000003E-2</v>
      </c>
      <c r="D258">
        <v>0.57620000000000005</v>
      </c>
      <c r="E258">
        <f t="shared" si="14"/>
        <v>-0.876</v>
      </c>
      <c r="F258" s="3">
        <f t="shared" si="15"/>
        <v>4.6012269938651628E-3</v>
      </c>
      <c r="G258">
        <f t="shared" si="16"/>
        <v>-0.42379999999999995</v>
      </c>
    </row>
    <row r="259" spans="1:10" x14ac:dyDescent="0.25">
      <c r="A259">
        <v>177.24629999999999</v>
      </c>
      <c r="B259">
        <v>0.1242</v>
      </c>
      <c r="C259">
        <v>6.5699999999999995E-2</v>
      </c>
      <c r="D259">
        <v>0.57679999999999998</v>
      </c>
      <c r="E259">
        <f t="shared" si="14"/>
        <v>-0.87580000000000002</v>
      </c>
      <c r="F259" s="3">
        <f t="shared" si="15"/>
        <v>3.0534351145036923E-3</v>
      </c>
      <c r="G259">
        <f t="shared" si="16"/>
        <v>-0.42320000000000002</v>
      </c>
    </row>
    <row r="260" spans="1:10" x14ac:dyDescent="0.25">
      <c r="A260">
        <v>178.0257</v>
      </c>
      <c r="B260">
        <v>0.1244</v>
      </c>
      <c r="C260">
        <v>6.59E-2</v>
      </c>
      <c r="D260">
        <v>0.57730000000000004</v>
      </c>
      <c r="E260">
        <f t="shared" si="14"/>
        <v>-0.87560000000000004</v>
      </c>
      <c r="F260" s="3">
        <f t="shared" si="15"/>
        <v>3.0441400304414877E-3</v>
      </c>
      <c r="G260">
        <f t="shared" si="16"/>
        <v>-0.42269999999999996</v>
      </c>
    </row>
    <row r="261" spans="1:10" x14ac:dyDescent="0.25">
      <c r="A261">
        <v>178.51929999999999</v>
      </c>
      <c r="B261">
        <v>0.1246</v>
      </c>
      <c r="C261">
        <v>6.6100000000000006E-2</v>
      </c>
      <c r="D261">
        <v>0.5776</v>
      </c>
      <c r="E261">
        <f t="shared" si="14"/>
        <v>-0.87539999999999996</v>
      </c>
      <c r="F261" s="3">
        <f t="shared" si="15"/>
        <v>3.0349013657057014E-3</v>
      </c>
      <c r="G261">
        <f t="shared" si="16"/>
        <v>-0.4224</v>
      </c>
    </row>
    <row r="262" spans="1:10" x14ac:dyDescent="0.25">
      <c r="A262">
        <v>179.0128</v>
      </c>
      <c r="B262">
        <v>0.12470000000000001</v>
      </c>
      <c r="C262">
        <v>6.6199999999999995E-2</v>
      </c>
      <c r="D262">
        <v>0.57789999999999997</v>
      </c>
      <c r="E262">
        <f t="shared" ref="E262:E264" si="18">B262-B261/B261</f>
        <v>-0.87529999999999997</v>
      </c>
      <c r="F262" s="3">
        <f t="shared" ref="F262:F264" si="19">(C262-C261)/MAX(0.000000001,C261)</f>
        <v>1.5128593040845534E-3</v>
      </c>
      <c r="G262">
        <f t="shared" ref="G262:G264" si="20">D262-D261/D261</f>
        <v>-0.42210000000000003</v>
      </c>
    </row>
    <row r="263" spans="1:10" x14ac:dyDescent="0.25">
      <c r="A263">
        <v>179.50640000000001</v>
      </c>
      <c r="B263">
        <v>0.12479999999999999</v>
      </c>
      <c r="C263">
        <v>6.6299999999999998E-2</v>
      </c>
      <c r="D263">
        <v>0.57830000000000004</v>
      </c>
      <c r="E263">
        <f t="shared" si="18"/>
        <v>-0.87519999999999998</v>
      </c>
      <c r="F263" s="3">
        <f t="shared" si="19"/>
        <v>1.5105740181269316E-3</v>
      </c>
      <c r="G263">
        <f t="shared" si="20"/>
        <v>-0.42169999999999996</v>
      </c>
    </row>
    <row r="264" spans="1:10" x14ac:dyDescent="0.25">
      <c r="A264">
        <v>180</v>
      </c>
      <c r="B264">
        <v>0.125</v>
      </c>
      <c r="C264">
        <v>6.6400000000000001E-2</v>
      </c>
      <c r="D264">
        <v>0.5786</v>
      </c>
      <c r="E264">
        <f t="shared" si="18"/>
        <v>-0.875</v>
      </c>
      <c r="F264" s="3">
        <f t="shared" si="19"/>
        <v>1.508295625942728E-3</v>
      </c>
      <c r="G264">
        <f t="shared" si="20"/>
        <v>-0.4214</v>
      </c>
      <c r="H264">
        <f>B264</f>
        <v>0.125</v>
      </c>
      <c r="I264">
        <f t="shared" ref="I264:J264" si="21">C264</f>
        <v>6.6400000000000001E-2</v>
      </c>
      <c r="J264">
        <f t="shared" si="21"/>
        <v>0.5786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opLeftCell="B1" workbookViewId="0">
      <selection activeCell="N8" sqref="N8"/>
    </sheetView>
  </sheetViews>
  <sheetFormatPr defaultRowHeight="15" x14ac:dyDescent="0.25"/>
  <sheetData>
    <row r="1" spans="1:19" ht="15.75" x14ac:dyDescent="0.25">
      <c r="A1" s="1" t="s">
        <v>0</v>
      </c>
      <c r="F1" s="2" t="s">
        <v>5</v>
      </c>
    </row>
    <row r="3" spans="1:19" x14ac:dyDescent="0.25">
      <c r="K3" t="s">
        <v>13</v>
      </c>
      <c r="P3" t="s">
        <v>15</v>
      </c>
    </row>
    <row r="4" spans="1:19" x14ac:dyDescent="0.25">
      <c r="A4" t="s">
        <v>1</v>
      </c>
      <c r="B4" t="s">
        <v>2</v>
      </c>
      <c r="C4" t="s">
        <v>3</v>
      </c>
      <c r="D4" t="s">
        <v>4</v>
      </c>
      <c r="F4" t="s">
        <v>1</v>
      </c>
      <c r="G4" t="s">
        <v>2</v>
      </c>
      <c r="H4" t="s">
        <v>3</v>
      </c>
      <c r="I4" t="s">
        <v>4</v>
      </c>
      <c r="K4" t="s">
        <v>14</v>
      </c>
      <c r="L4" t="s">
        <v>2</v>
      </c>
      <c r="M4" t="s">
        <v>3</v>
      </c>
      <c r="N4" t="s">
        <v>4</v>
      </c>
      <c r="P4" t="s">
        <v>14</v>
      </c>
      <c r="Q4" t="s">
        <v>2</v>
      </c>
      <c r="R4" t="s">
        <v>3</v>
      </c>
      <c r="S4" t="s">
        <v>4</v>
      </c>
    </row>
    <row r="6" spans="1:19" x14ac:dyDescent="0.25">
      <c r="A6" t="s">
        <v>6</v>
      </c>
      <c r="B6">
        <v>0</v>
      </c>
      <c r="C6">
        <v>0</v>
      </c>
      <c r="D6">
        <v>0</v>
      </c>
      <c r="F6" t="s">
        <v>6</v>
      </c>
      <c r="G6">
        <v>0</v>
      </c>
      <c r="H6">
        <v>0</v>
      </c>
      <c r="I6">
        <v>0</v>
      </c>
      <c r="K6">
        <v>1</v>
      </c>
      <c r="L6">
        <v>0</v>
      </c>
      <c r="M6">
        <v>0</v>
      </c>
      <c r="N6">
        <v>0</v>
      </c>
      <c r="P6">
        <v>1</v>
      </c>
      <c r="Q6">
        <v>0</v>
      </c>
      <c r="R6">
        <v>0</v>
      </c>
      <c r="S6">
        <v>0</v>
      </c>
    </row>
    <row r="7" spans="1:19" x14ac:dyDescent="0.25">
      <c r="A7" t="s">
        <v>7</v>
      </c>
      <c r="B7">
        <v>6.9999999999999999E-4</v>
      </c>
      <c r="C7">
        <v>0</v>
      </c>
      <c r="D7">
        <v>0.16270000000000001</v>
      </c>
      <c r="F7" t="s">
        <v>7</v>
      </c>
      <c r="G7">
        <v>6.9999999999999999E-4</v>
      </c>
      <c r="H7">
        <v>0</v>
      </c>
      <c r="I7">
        <v>0.16250000000000001</v>
      </c>
      <c r="K7">
        <v>2</v>
      </c>
      <c r="L7">
        <f>(B7-B6)/(1-B6)</f>
        <v>6.9999999999999999E-4</v>
      </c>
      <c r="M7">
        <f>(C7-C6)/(1-C6)</f>
        <v>0</v>
      </c>
      <c r="N7">
        <f>(D7-D6)/(1-D6)</f>
        <v>0.16270000000000001</v>
      </c>
      <c r="P7">
        <v>2</v>
      </c>
      <c r="Q7">
        <f>(G7-G6)/(1-G6)</f>
        <v>6.9999999999999999E-4</v>
      </c>
      <c r="R7">
        <f>(H7-H6)/(1-H6)</f>
        <v>0</v>
      </c>
      <c r="S7">
        <f>(I7-I6)/(1-I6)</f>
        <v>0.16250000000000001</v>
      </c>
    </row>
    <row r="8" spans="1:19" x14ac:dyDescent="0.25">
      <c r="A8" t="s">
        <v>8</v>
      </c>
      <c r="B8">
        <v>5.7000000000000002E-3</v>
      </c>
      <c r="C8">
        <v>4.0000000000000002E-4</v>
      </c>
      <c r="D8">
        <v>0.34079999999999999</v>
      </c>
      <c r="F8" t="s">
        <v>8</v>
      </c>
      <c r="G8">
        <v>6.1000000000000004E-3</v>
      </c>
      <c r="H8">
        <v>8.9999999999999998E-4</v>
      </c>
      <c r="I8">
        <v>0.34</v>
      </c>
      <c r="K8">
        <v>3</v>
      </c>
      <c r="L8">
        <f t="shared" ref="L8:N12" si="0">(B8-B7)/(1-B7)</f>
        <v>5.0035024517162017E-3</v>
      </c>
      <c r="M8">
        <f t="shared" si="0"/>
        <v>4.0000000000000002E-4</v>
      </c>
      <c r="N8">
        <f t="shared" si="0"/>
        <v>0.21270751224172937</v>
      </c>
      <c r="P8">
        <v>3</v>
      </c>
      <c r="Q8">
        <f t="shared" ref="Q8:Q12" si="1">(G8-G7)/(1-G7)</f>
        <v>5.4037826478534976E-3</v>
      </c>
      <c r="R8">
        <f t="shared" ref="R8:R12" si="2">(H8-H7)/(1-H7)</f>
        <v>8.9999999999999998E-4</v>
      </c>
      <c r="S8">
        <f t="shared" ref="S8:S12" si="3">(I8-I7)/(1-I7)</f>
        <v>0.21194029850746271</v>
      </c>
    </row>
    <row r="9" spans="1:19" x14ac:dyDescent="0.25">
      <c r="A9" t="s">
        <v>9</v>
      </c>
      <c r="B9">
        <v>2.47E-2</v>
      </c>
      <c r="C9">
        <v>3.2000000000000002E-3</v>
      </c>
      <c r="D9">
        <v>0.4637</v>
      </c>
      <c r="F9" t="s">
        <v>9</v>
      </c>
      <c r="G9">
        <v>2.9000000000000001E-2</v>
      </c>
      <c r="H9">
        <v>8.0999999999999996E-3</v>
      </c>
      <c r="I9">
        <v>0.46350000000000002</v>
      </c>
      <c r="K9">
        <v>4</v>
      </c>
      <c r="L9">
        <f t="shared" si="0"/>
        <v>1.910892084883838E-2</v>
      </c>
      <c r="M9">
        <f t="shared" si="0"/>
        <v>2.8011204481792717E-3</v>
      </c>
      <c r="N9">
        <f t="shared" si="0"/>
        <v>0.18643810679611653</v>
      </c>
      <c r="P9">
        <v>4</v>
      </c>
      <c r="Q9">
        <f t="shared" si="1"/>
        <v>2.3040547338766475E-2</v>
      </c>
      <c r="R9">
        <f t="shared" si="2"/>
        <v>7.2064858372535281E-3</v>
      </c>
      <c r="S9">
        <f t="shared" si="3"/>
        <v>0.18712121212121213</v>
      </c>
    </row>
    <row r="10" spans="1:19" x14ac:dyDescent="0.25">
      <c r="A10" t="s">
        <v>10</v>
      </c>
      <c r="B10">
        <v>6.1400000000000003E-2</v>
      </c>
      <c r="C10">
        <v>1.15E-2</v>
      </c>
      <c r="D10">
        <v>0.52100000000000002</v>
      </c>
      <c r="F10" t="s">
        <v>10</v>
      </c>
      <c r="G10">
        <v>7.4399999999999994E-2</v>
      </c>
      <c r="H10">
        <v>2.9700000000000001E-2</v>
      </c>
      <c r="I10">
        <v>0.51870000000000005</v>
      </c>
      <c r="K10">
        <v>5</v>
      </c>
      <c r="L10">
        <f t="shared" si="0"/>
        <v>3.7629447349533475E-2</v>
      </c>
      <c r="M10">
        <f t="shared" si="0"/>
        <v>8.3266452648475126E-3</v>
      </c>
      <c r="N10">
        <f t="shared" si="0"/>
        <v>0.1068431847846355</v>
      </c>
      <c r="P10">
        <v>5</v>
      </c>
      <c r="Q10">
        <f t="shared" si="1"/>
        <v>4.6755921730175072E-2</v>
      </c>
      <c r="R10">
        <f t="shared" si="2"/>
        <v>2.1776388748865814E-2</v>
      </c>
      <c r="S10">
        <f t="shared" si="3"/>
        <v>0.10288909599254432</v>
      </c>
    </row>
    <row r="11" spans="1:19" x14ac:dyDescent="0.25">
      <c r="A11" t="s">
        <v>11</v>
      </c>
      <c r="B11">
        <v>9.4100000000000003E-2</v>
      </c>
      <c r="C11">
        <v>2.2200000000000001E-2</v>
      </c>
      <c r="D11">
        <v>0.56330000000000002</v>
      </c>
      <c r="F11" t="s">
        <v>11</v>
      </c>
      <c r="G11">
        <v>0.1113</v>
      </c>
      <c r="H11">
        <v>5.4399999999999997E-2</v>
      </c>
      <c r="I11">
        <v>0.55779999999999996</v>
      </c>
      <c r="K11">
        <v>6</v>
      </c>
      <c r="L11">
        <f t="shared" si="0"/>
        <v>3.4839122096739825E-2</v>
      </c>
      <c r="M11">
        <f t="shared" si="0"/>
        <v>1.082448153768336E-2</v>
      </c>
      <c r="N11">
        <f t="shared" si="0"/>
        <v>8.8308977035490621E-2</v>
      </c>
      <c r="P11">
        <v>6</v>
      </c>
      <c r="Q11">
        <f t="shared" si="1"/>
        <v>3.9866032843560939E-2</v>
      </c>
      <c r="R11">
        <f t="shared" si="2"/>
        <v>2.5456044522312683E-2</v>
      </c>
      <c r="S11">
        <f t="shared" si="3"/>
        <v>8.1238312902555412E-2</v>
      </c>
    </row>
    <row r="12" spans="1:19" x14ac:dyDescent="0.25">
      <c r="A12" t="s">
        <v>12</v>
      </c>
      <c r="B12">
        <v>0.1079</v>
      </c>
      <c r="C12">
        <v>2.8199999999999999E-2</v>
      </c>
      <c r="D12">
        <v>0.58609999999999995</v>
      </c>
      <c r="F12" t="s">
        <v>12</v>
      </c>
      <c r="G12">
        <v>0.125</v>
      </c>
      <c r="H12">
        <v>6.6400000000000001E-2</v>
      </c>
      <c r="I12">
        <v>0.5786</v>
      </c>
      <c r="K12">
        <v>7</v>
      </c>
      <c r="L12">
        <f t="shared" si="0"/>
        <v>1.5233469477867306E-2</v>
      </c>
      <c r="M12">
        <f t="shared" si="0"/>
        <v>6.136224176723255E-3</v>
      </c>
      <c r="N12">
        <f t="shared" si="0"/>
        <v>5.2209754980535684E-2</v>
      </c>
      <c r="P12">
        <v>7</v>
      </c>
      <c r="Q12">
        <f t="shared" si="1"/>
        <v>1.5415775852368632E-2</v>
      </c>
      <c r="R12">
        <f t="shared" si="2"/>
        <v>1.2690355329949242E-2</v>
      </c>
      <c r="S12">
        <f t="shared" si="3"/>
        <v>4.7037539574853099E-2</v>
      </c>
    </row>
    <row r="13" spans="1:19" x14ac:dyDescent="0.25">
      <c r="K13">
        <v>8</v>
      </c>
      <c r="L13">
        <v>0</v>
      </c>
      <c r="M13">
        <v>0</v>
      </c>
      <c r="N13">
        <v>0</v>
      </c>
      <c r="P13">
        <v>8</v>
      </c>
      <c r="Q13">
        <v>0</v>
      </c>
      <c r="R13">
        <v>0</v>
      </c>
      <c r="S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Calculations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Jonathan Raviotta</cp:lastModifiedBy>
  <dcterms:created xsi:type="dcterms:W3CDTF">2014-11-10T15:54:01Z</dcterms:created>
  <dcterms:modified xsi:type="dcterms:W3CDTF">2014-12-19T22:32:36Z</dcterms:modified>
</cp:coreProperties>
</file>