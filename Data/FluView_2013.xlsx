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90" windowWidth="24915" windowHeight="12330"/>
  </bookViews>
  <sheets>
    <sheet name="FluView_2013" sheetId="2" r:id="rId1"/>
    <sheet name="FluView_StackedColumnChart_Data" sheetId="1" r:id="rId2"/>
  </sheets>
  <calcPr calcId="0"/>
  <pivotCaches>
    <pivotCache cacheId="20" r:id="rId3"/>
  </pivotCaches>
</workbook>
</file>

<file path=xl/calcChain.xml><?xml version="1.0" encoding="utf-8"?>
<calcChain xmlns="http://schemas.openxmlformats.org/spreadsheetml/2006/main">
  <c r="M2" i="1" l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</calcChain>
</file>

<file path=xl/sharedStrings.xml><?xml version="1.0" encoding="utf-8"?>
<sst xmlns="http://schemas.openxmlformats.org/spreadsheetml/2006/main" count="21" uniqueCount="18">
  <si>
    <t>YEAR</t>
  </si>
  <si>
    <t>WEEK</t>
  </si>
  <si>
    <t>TOTAL SPECIMENS</t>
  </si>
  <si>
    <t>A (H1)</t>
  </si>
  <si>
    <t>A (Unable to Subtype)</t>
  </si>
  <si>
    <t>A (H3)</t>
  </si>
  <si>
    <t>2009 H1N1</t>
  </si>
  <si>
    <t>A (Subtyping not Performed)</t>
  </si>
  <si>
    <t>B</t>
  </si>
  <si>
    <t>H3N2v</t>
  </si>
  <si>
    <t>PERCENT POSITIVE</t>
  </si>
  <si>
    <t>Grand Total</t>
  </si>
  <si>
    <t>Sum of TOTAL SPECIMENS</t>
  </si>
  <si>
    <t>month</t>
  </si>
  <si>
    <t>positive</t>
  </si>
  <si>
    <t>http://gis.cdc.gov/grasp/fluview/fluportaldashboard.html</t>
  </si>
  <si>
    <t>Sum of positive</t>
  </si>
  <si>
    <t>Sum of pFluPositive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</si>
</sst>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NumberFormat="1"/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Jonathan Raviotta" refreshedDate="41919.67137916667" createdVersion="4" refreshedVersion="4" minRefreshableVersion="3" recordCount="52">
  <cacheSource type="worksheet">
    <worksheetSource name="Table1"/>
  </cacheSource>
  <cacheFields count="14">
    <cacheField name="YEAR" numFmtId="0">
      <sharedItems containsSemiMixedTypes="0" containsString="0" containsNumber="1" containsInteger="1" minValue="2013" maxValue="2014" count="2">
        <n v="2013"/>
        <n v="2014"/>
      </sharedItems>
    </cacheField>
    <cacheField name="WEEK" numFmtId="0">
      <sharedItems containsSemiMixedTypes="0" containsString="0" containsNumber="1" containsInteger="1" minValue="1" maxValue="52" count="52">
        <n v="40"/>
        <n v="41"/>
        <n v="42"/>
        <n v="43"/>
        <n v="44"/>
        <n v="45"/>
        <n v="46"/>
        <n v="47"/>
        <n v="48"/>
        <n v="49"/>
        <n v="50"/>
        <n v="51"/>
        <n v="52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</sharedItems>
    </cacheField>
    <cacheField name="TOTAL SPECIMENS" numFmtId="0">
      <sharedItems containsSemiMixedTypes="0" containsString="0" containsNumber="1" containsInteger="1" minValue="2918" maxValue="18159" count="52">
        <n v="4881"/>
        <n v="5770"/>
        <n v="5786"/>
        <n v="5859"/>
        <n v="6280"/>
        <n v="6876"/>
        <n v="7159"/>
        <n v="7801"/>
        <n v="7295"/>
        <n v="10114"/>
        <n v="10789"/>
        <n v="13937"/>
        <n v="15677"/>
        <n v="17684"/>
        <n v="18159"/>
        <n v="17397"/>
        <n v="16388"/>
        <n v="14550"/>
        <n v="12936"/>
        <n v="11632"/>
        <n v="11072"/>
        <n v="10188"/>
        <n v="9406"/>
        <n v="8874"/>
        <n v="8172"/>
        <n v="7874"/>
        <n v="7504"/>
        <n v="7157"/>
        <n v="6620"/>
        <n v="6302"/>
        <n v="5847"/>
        <n v="5422"/>
        <n v="5304"/>
        <n v="4820"/>
        <n v="4748"/>
        <n v="4291"/>
        <n v="4117"/>
        <n v="3861"/>
        <n v="3427"/>
        <n v="3127"/>
        <n v="3044"/>
        <n v="3162"/>
        <n v="3105"/>
        <n v="2918"/>
        <n v="2940"/>
        <n v="3247"/>
        <n v="3309"/>
        <n v="3915"/>
        <n v="4147"/>
        <n v="5042"/>
        <n v="5038"/>
        <n v="3782"/>
      </sharedItems>
    </cacheField>
    <cacheField name="A (H1)" numFmtId="0">
      <sharedItems containsSemiMixedTypes="0" containsString="0" containsNumber="1" containsInteger="1" minValue="0" maxValue="0"/>
    </cacheField>
    <cacheField name="A (Unable to Subtype)" numFmtId="0">
      <sharedItems containsSemiMixedTypes="0" containsString="0" containsNumber="1" containsInteger="1" minValue="0" maxValue="0"/>
    </cacheField>
    <cacheField name="A (H3)" numFmtId="0">
      <sharedItems containsSemiMixedTypes="0" containsString="0" containsNumber="1" containsInteger="1" minValue="11" maxValue="236"/>
    </cacheField>
    <cacheField name="2009 H1N1" numFmtId="0">
      <sharedItems containsSemiMixedTypes="0" containsString="0" containsNumber="1" containsInteger="1" minValue="0" maxValue="3540"/>
    </cacheField>
    <cacheField name="A (Subtyping not Performed)" numFmtId="0">
      <sharedItems containsSemiMixedTypes="0" containsString="0" containsNumber="1" containsInteger="1" minValue="15" maxValue="1741"/>
    </cacheField>
    <cacheField name="B" numFmtId="0">
      <sharedItems containsSemiMixedTypes="0" containsString="0" containsNumber="1" containsInteger="1" minValue="14" maxValue="624"/>
    </cacheField>
    <cacheField name="H3N2v" numFmtId="0">
      <sharedItems containsSemiMixedTypes="0" containsString="0" containsNumber="1" containsInteger="1" minValue="0" maxValue="1"/>
    </cacheField>
    <cacheField name="PERCENT POSITIVE" numFmtId="0">
      <sharedItems containsSemiMixedTypes="0" containsString="0" containsNumber="1" minValue="1.8643395477984901" maxValue="31.160298526503801"/>
    </cacheField>
    <cacheField name="month" numFmtId="0">
      <sharedItems containsSemiMixedTypes="0" containsString="0" containsNumber="1" containsInteger="1" minValue="1" maxValue="12" count="12">
        <n v="10"/>
        <n v="11"/>
        <n v="12"/>
        <n v="1"/>
        <n v="2"/>
        <n v="3"/>
        <n v="4"/>
        <n v="5"/>
        <n v="6"/>
        <n v="7"/>
        <n v="8"/>
        <n v="9"/>
      </sharedItems>
    </cacheField>
    <cacheField name="positive" numFmtId="0">
      <sharedItems containsSemiMixedTypes="0" containsString="0" containsNumber="1" containsInteger="1" minValue="87" maxValue="5182"/>
    </cacheField>
    <cacheField name="pFluPositive" numFmtId="0" formula="positive /'TOTAL SPECIMENS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2">
  <r>
    <x v="0"/>
    <x v="0"/>
    <x v="0"/>
    <n v="0"/>
    <n v="0"/>
    <n v="13"/>
    <n v="69"/>
    <n v="83"/>
    <n v="28"/>
    <n v="1"/>
    <n v="3.9745953698012699"/>
    <x v="0"/>
    <n v="194"/>
  </r>
  <r>
    <x v="0"/>
    <x v="1"/>
    <x v="1"/>
    <n v="0"/>
    <n v="0"/>
    <n v="24"/>
    <n v="57"/>
    <n v="116"/>
    <n v="32"/>
    <n v="0"/>
    <n v="3.9688041594454102"/>
    <x v="0"/>
    <n v="229"/>
  </r>
  <r>
    <x v="0"/>
    <x v="2"/>
    <x v="2"/>
    <n v="0"/>
    <n v="0"/>
    <n v="16"/>
    <n v="49"/>
    <n v="94"/>
    <n v="26"/>
    <n v="0"/>
    <n v="3.1973729692360902"/>
    <x v="0"/>
    <n v="185"/>
  </r>
  <r>
    <x v="0"/>
    <x v="3"/>
    <x v="3"/>
    <n v="0"/>
    <n v="0"/>
    <n v="18"/>
    <n v="73"/>
    <n v="100"/>
    <n v="14"/>
    <n v="0"/>
    <n v="3.4988905956647902"/>
    <x v="0"/>
    <n v="205"/>
  </r>
  <r>
    <x v="0"/>
    <x v="4"/>
    <x v="4"/>
    <n v="0"/>
    <n v="0"/>
    <n v="26"/>
    <n v="88"/>
    <n v="136"/>
    <n v="43"/>
    <n v="0"/>
    <n v="4.6656050955413999"/>
    <x v="1"/>
    <n v="293"/>
  </r>
  <r>
    <x v="0"/>
    <x v="5"/>
    <x v="5"/>
    <n v="0"/>
    <n v="0"/>
    <n v="29"/>
    <n v="157"/>
    <n v="171"/>
    <n v="43"/>
    <n v="0"/>
    <n v="5.8173356602675996"/>
    <x v="1"/>
    <n v="400"/>
  </r>
  <r>
    <x v="0"/>
    <x v="6"/>
    <x v="6"/>
    <n v="0"/>
    <n v="0"/>
    <n v="21"/>
    <n v="272"/>
    <n v="188"/>
    <n v="37"/>
    <n v="0"/>
    <n v="7.2356474367928501"/>
    <x v="1"/>
    <n v="518"/>
  </r>
  <r>
    <x v="0"/>
    <x v="7"/>
    <x v="7"/>
    <n v="0"/>
    <n v="0"/>
    <n v="22"/>
    <n v="425"/>
    <n v="210"/>
    <n v="57"/>
    <n v="0"/>
    <n v="9.15267273426484"/>
    <x v="1"/>
    <n v="714"/>
  </r>
  <r>
    <x v="0"/>
    <x v="8"/>
    <x v="8"/>
    <n v="0"/>
    <n v="0"/>
    <n v="29"/>
    <n v="483"/>
    <n v="330"/>
    <n v="41"/>
    <n v="0"/>
    <n v="12.104180945853299"/>
    <x v="2"/>
    <n v="883"/>
  </r>
  <r>
    <x v="0"/>
    <x v="9"/>
    <x v="9"/>
    <n v="0"/>
    <n v="0"/>
    <n v="34"/>
    <n v="1021"/>
    <n v="726"/>
    <n v="69"/>
    <n v="0"/>
    <n v="18.291477160371802"/>
    <x v="2"/>
    <n v="1850"/>
  </r>
  <r>
    <x v="0"/>
    <x v="10"/>
    <x v="10"/>
    <n v="0"/>
    <n v="0"/>
    <n v="56"/>
    <n v="1324"/>
    <n v="815"/>
    <n v="52"/>
    <n v="0"/>
    <n v="20.826768004449001"/>
    <x v="2"/>
    <n v="2247"/>
  </r>
  <r>
    <x v="0"/>
    <x v="11"/>
    <x v="11"/>
    <n v="0"/>
    <n v="0"/>
    <n v="51"/>
    <n v="2231"/>
    <n v="1600"/>
    <n v="67"/>
    <n v="0"/>
    <n v="28.3346487766377"/>
    <x v="2"/>
    <n v="3949"/>
  </r>
  <r>
    <x v="0"/>
    <x v="12"/>
    <x v="12"/>
    <n v="0"/>
    <n v="0"/>
    <n v="47"/>
    <n v="3004"/>
    <n v="1741"/>
    <n v="93"/>
    <n v="0"/>
    <n v="31.160298526503801"/>
    <x v="2"/>
    <n v="4885"/>
  </r>
  <r>
    <x v="1"/>
    <x v="13"/>
    <x v="13"/>
    <n v="0"/>
    <n v="0"/>
    <n v="84"/>
    <n v="3474"/>
    <n v="1536"/>
    <n v="88"/>
    <n v="0"/>
    <n v="29.3033250395838"/>
    <x v="3"/>
    <n v="5182"/>
  </r>
  <r>
    <x v="1"/>
    <x v="14"/>
    <x v="14"/>
    <n v="0"/>
    <n v="0"/>
    <n v="106"/>
    <n v="3540"/>
    <n v="1311"/>
    <n v="91"/>
    <n v="0"/>
    <n v="27.798887603942902"/>
    <x v="3"/>
    <n v="5048"/>
  </r>
  <r>
    <x v="1"/>
    <x v="15"/>
    <x v="15"/>
    <n v="0"/>
    <n v="0"/>
    <n v="126"/>
    <n v="3254"/>
    <n v="1156"/>
    <n v="131"/>
    <n v="0"/>
    <n v="26.826464332931"/>
    <x v="3"/>
    <n v="4667"/>
  </r>
  <r>
    <x v="1"/>
    <x v="16"/>
    <x v="16"/>
    <n v="0"/>
    <n v="0"/>
    <n v="132"/>
    <n v="2632"/>
    <n v="1036"/>
    <n v="185"/>
    <n v="0"/>
    <n v="24.316573102269999"/>
    <x v="3"/>
    <n v="3985"/>
  </r>
  <r>
    <x v="1"/>
    <x v="17"/>
    <x v="17"/>
    <n v="0"/>
    <n v="0"/>
    <n v="93"/>
    <n v="1931"/>
    <n v="775"/>
    <n v="174"/>
    <n v="0"/>
    <n v="20.432989690721602"/>
    <x v="4"/>
    <n v="2973"/>
  </r>
  <r>
    <x v="1"/>
    <x v="18"/>
    <x v="18"/>
    <n v="0"/>
    <n v="0"/>
    <n v="130"/>
    <n v="1567"/>
    <n v="557"/>
    <n v="218"/>
    <n v="0"/>
    <n v="19.109461966604801"/>
    <x v="4"/>
    <n v="2472"/>
  </r>
  <r>
    <x v="1"/>
    <x v="19"/>
    <x v="19"/>
    <n v="0"/>
    <n v="0"/>
    <n v="102"/>
    <n v="1128"/>
    <n v="486"/>
    <n v="227"/>
    <n v="0"/>
    <n v="16.703920220082502"/>
    <x v="4"/>
    <n v="1943"/>
  </r>
  <r>
    <x v="1"/>
    <x v="20"/>
    <x v="20"/>
    <n v="0"/>
    <n v="0"/>
    <n v="93"/>
    <n v="836"/>
    <n v="337"/>
    <n v="248"/>
    <n v="0"/>
    <n v="13.674132947976901"/>
    <x v="4"/>
    <n v="1514"/>
  </r>
  <r>
    <x v="1"/>
    <x v="21"/>
    <x v="21"/>
    <n v="0"/>
    <n v="0"/>
    <n v="102"/>
    <n v="575"/>
    <n v="261"/>
    <n v="273"/>
    <n v="0"/>
    <n v="11.8865331762858"/>
    <x v="5"/>
    <n v="1211"/>
  </r>
  <r>
    <x v="1"/>
    <x v="22"/>
    <x v="22"/>
    <n v="0"/>
    <n v="0"/>
    <n v="102"/>
    <n v="410"/>
    <n v="207"/>
    <n v="300"/>
    <n v="0"/>
    <n v="10.833510525196701"/>
    <x v="5"/>
    <n v="1019"/>
  </r>
  <r>
    <x v="1"/>
    <x v="23"/>
    <x v="23"/>
    <n v="0"/>
    <n v="0"/>
    <n v="138"/>
    <n v="347"/>
    <n v="163"/>
    <n v="334"/>
    <n v="0"/>
    <n v="11.0660356096462"/>
    <x v="5"/>
    <n v="982"/>
  </r>
  <r>
    <x v="1"/>
    <x v="24"/>
    <x v="24"/>
    <n v="0"/>
    <n v="0"/>
    <n v="164"/>
    <n v="209"/>
    <n v="190"/>
    <n v="464"/>
    <n v="0"/>
    <n v="12.567302985805201"/>
    <x v="5"/>
    <n v="1027"/>
  </r>
  <r>
    <x v="1"/>
    <x v="25"/>
    <x v="25"/>
    <n v="0"/>
    <n v="0"/>
    <n v="184"/>
    <n v="155"/>
    <n v="188"/>
    <n v="525"/>
    <n v="0"/>
    <n v="13.3604267208534"/>
    <x v="6"/>
    <n v="1052"/>
  </r>
  <r>
    <x v="1"/>
    <x v="26"/>
    <x v="26"/>
    <n v="0"/>
    <n v="0"/>
    <n v="236"/>
    <n v="112"/>
    <n v="145"/>
    <n v="595"/>
    <n v="0"/>
    <n v="14.498933901918999"/>
    <x v="6"/>
    <n v="1088"/>
  </r>
  <r>
    <x v="1"/>
    <x v="27"/>
    <x v="27"/>
    <n v="0"/>
    <n v="0"/>
    <n v="225"/>
    <n v="54"/>
    <n v="168"/>
    <n v="624"/>
    <n v="0"/>
    <n v="14.9643705463183"/>
    <x v="6"/>
    <n v="1071"/>
  </r>
  <r>
    <x v="1"/>
    <x v="28"/>
    <x v="28"/>
    <n v="0"/>
    <n v="0"/>
    <n v="224"/>
    <n v="30"/>
    <n v="138"/>
    <n v="516"/>
    <n v="0"/>
    <n v="13.7160120845921"/>
    <x v="6"/>
    <n v="908"/>
  </r>
  <r>
    <x v="1"/>
    <x v="29"/>
    <x v="29"/>
    <n v="0"/>
    <n v="0"/>
    <n v="191"/>
    <n v="29"/>
    <n v="129"/>
    <n v="469"/>
    <n v="0"/>
    <n v="12.9800063471914"/>
    <x v="6"/>
    <n v="818"/>
  </r>
  <r>
    <x v="1"/>
    <x v="30"/>
    <x v="30"/>
    <n v="0"/>
    <n v="0"/>
    <n v="151"/>
    <n v="13"/>
    <n v="131"/>
    <n v="447"/>
    <n v="0"/>
    <n v="12.6902685137677"/>
    <x v="7"/>
    <n v="742"/>
  </r>
  <r>
    <x v="1"/>
    <x v="31"/>
    <x v="31"/>
    <n v="0"/>
    <n v="0"/>
    <n v="130"/>
    <n v="7"/>
    <n v="104"/>
    <n v="354"/>
    <n v="0"/>
    <n v="10.9738104020657"/>
    <x v="7"/>
    <n v="595"/>
  </r>
  <r>
    <x v="1"/>
    <x v="32"/>
    <x v="32"/>
    <n v="0"/>
    <n v="0"/>
    <n v="119"/>
    <n v="6"/>
    <n v="102"/>
    <n v="322"/>
    <n v="0"/>
    <n v="10.3506787330317"/>
    <x v="7"/>
    <n v="549"/>
  </r>
  <r>
    <x v="1"/>
    <x v="33"/>
    <x v="33"/>
    <n v="0"/>
    <n v="0"/>
    <n v="104"/>
    <n v="1"/>
    <n v="62"/>
    <n v="235"/>
    <n v="0"/>
    <n v="8.3402489626556005"/>
    <x v="7"/>
    <n v="402"/>
  </r>
  <r>
    <x v="1"/>
    <x v="34"/>
    <x v="34"/>
    <n v="0"/>
    <n v="0"/>
    <n v="115"/>
    <n v="3"/>
    <n v="80"/>
    <n v="225"/>
    <n v="0"/>
    <n v="8.9090143218197095"/>
    <x v="8"/>
    <n v="423"/>
  </r>
  <r>
    <x v="1"/>
    <x v="35"/>
    <x v="35"/>
    <n v="0"/>
    <n v="0"/>
    <n v="96"/>
    <n v="3"/>
    <n v="51"/>
    <n v="160"/>
    <n v="0"/>
    <n v="7.2244232113726401"/>
    <x v="8"/>
    <n v="310"/>
  </r>
  <r>
    <x v="1"/>
    <x v="36"/>
    <x v="36"/>
    <n v="0"/>
    <n v="0"/>
    <n v="102"/>
    <n v="3"/>
    <n v="49"/>
    <n v="140"/>
    <n v="0"/>
    <n v="7.1411221763419999"/>
    <x v="8"/>
    <n v="294"/>
  </r>
  <r>
    <x v="1"/>
    <x v="37"/>
    <x v="37"/>
    <n v="0"/>
    <n v="0"/>
    <n v="69"/>
    <n v="3"/>
    <n v="43"/>
    <n v="113"/>
    <n v="0"/>
    <n v="5.9052059052059098"/>
    <x v="8"/>
    <n v="228"/>
  </r>
  <r>
    <x v="1"/>
    <x v="38"/>
    <x v="38"/>
    <n v="0"/>
    <n v="0"/>
    <n v="45"/>
    <n v="1"/>
    <n v="28"/>
    <n v="100"/>
    <n v="0"/>
    <n v="5.0773271082579496"/>
    <x v="9"/>
    <n v="174"/>
  </r>
  <r>
    <x v="1"/>
    <x v="39"/>
    <x v="39"/>
    <n v="0"/>
    <n v="0"/>
    <n v="47"/>
    <n v="2"/>
    <n v="26"/>
    <n v="83"/>
    <n v="0"/>
    <n v="5.0527662296130504"/>
    <x v="9"/>
    <n v="158"/>
  </r>
  <r>
    <x v="1"/>
    <x v="40"/>
    <x v="40"/>
    <n v="0"/>
    <n v="0"/>
    <n v="55"/>
    <n v="3"/>
    <n v="29"/>
    <n v="65"/>
    <n v="0"/>
    <n v="4.9934296977660999"/>
    <x v="9"/>
    <n v="152"/>
  </r>
  <r>
    <x v="1"/>
    <x v="41"/>
    <x v="41"/>
    <n v="0"/>
    <n v="0"/>
    <n v="41"/>
    <n v="0"/>
    <n v="19"/>
    <n v="60"/>
    <n v="0"/>
    <n v="3.7950664136622398"/>
    <x v="9"/>
    <n v="120"/>
  </r>
  <r>
    <x v="1"/>
    <x v="42"/>
    <x v="42"/>
    <n v="0"/>
    <n v="0"/>
    <n v="37"/>
    <n v="2"/>
    <n v="28"/>
    <n v="50"/>
    <n v="0"/>
    <n v="3.7681159420289898"/>
    <x v="9"/>
    <n v="117"/>
  </r>
  <r>
    <x v="1"/>
    <x v="43"/>
    <x v="43"/>
    <n v="0"/>
    <n v="0"/>
    <n v="53"/>
    <n v="2"/>
    <n v="25"/>
    <n v="27"/>
    <n v="0"/>
    <n v="3.6668951336531901"/>
    <x v="10"/>
    <n v="107"/>
  </r>
  <r>
    <x v="1"/>
    <x v="44"/>
    <x v="44"/>
    <n v="0"/>
    <n v="0"/>
    <n v="43"/>
    <n v="5"/>
    <n v="15"/>
    <n v="23"/>
    <n v="1"/>
    <n v="2.9591836734693899"/>
    <x v="10"/>
    <n v="87"/>
  </r>
  <r>
    <x v="1"/>
    <x v="45"/>
    <x v="45"/>
    <n v="0"/>
    <n v="0"/>
    <n v="54"/>
    <n v="1"/>
    <n v="21"/>
    <n v="36"/>
    <n v="0"/>
    <n v="3.44933785032338"/>
    <x v="10"/>
    <n v="112"/>
  </r>
  <r>
    <x v="1"/>
    <x v="46"/>
    <x v="46"/>
    <n v="0"/>
    <n v="0"/>
    <n v="44"/>
    <n v="3"/>
    <n v="19"/>
    <n v="40"/>
    <n v="1"/>
    <n v="3.2336053188274398"/>
    <x v="10"/>
    <n v="107"/>
  </r>
  <r>
    <x v="1"/>
    <x v="47"/>
    <x v="47"/>
    <n v="0"/>
    <n v="0"/>
    <n v="59"/>
    <n v="6"/>
    <n v="28"/>
    <n v="40"/>
    <n v="0"/>
    <n v="3.3971902937420202"/>
    <x v="11"/>
    <n v="133"/>
  </r>
  <r>
    <x v="1"/>
    <x v="48"/>
    <x v="48"/>
    <n v="0"/>
    <n v="0"/>
    <n v="42"/>
    <n v="7"/>
    <n v="33"/>
    <n v="29"/>
    <n v="0"/>
    <n v="2.67663371111647"/>
    <x v="11"/>
    <n v="111"/>
  </r>
  <r>
    <x v="1"/>
    <x v="49"/>
    <x v="49"/>
    <n v="0"/>
    <n v="0"/>
    <n v="39"/>
    <n v="0"/>
    <n v="32"/>
    <n v="23"/>
    <n v="0"/>
    <n v="1.8643395477984901"/>
    <x v="11"/>
    <n v="94"/>
  </r>
  <r>
    <x v="1"/>
    <x v="50"/>
    <x v="50"/>
    <n v="0"/>
    <n v="0"/>
    <n v="33"/>
    <n v="0"/>
    <n v="31"/>
    <n v="45"/>
    <n v="0"/>
    <n v="2.16355696705042"/>
    <x v="11"/>
    <n v="109"/>
  </r>
  <r>
    <x v="1"/>
    <x v="51"/>
    <x v="51"/>
    <n v="0"/>
    <n v="0"/>
    <n v="11"/>
    <n v="0"/>
    <n v="47"/>
    <n v="38"/>
    <n v="0"/>
    <n v="2.5383395029085101"/>
    <x v="11"/>
    <n v="9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2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compact="0" outline="1" outlineData="1" compactData="0" multipleFieldFilters="0">
  <location ref="A3:E16" firstHeaderRow="0" firstDataRow="1" firstDataCol="2"/>
  <pivotFields count="14">
    <pivotField axis="axisRow" compact="0" showAll="0" defaultSubtotal="0">
      <items count="2">
        <item x="0"/>
        <item x="1"/>
      </items>
    </pivotField>
    <pivotField compact="0" showAll="0" defaultSubtotal="0">
      <items count="52"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</pivotField>
    <pivotField dataField="1" compact="0" showAll="0" defaultSubtotal="0">
      <items count="52">
        <item x="43"/>
        <item x="44"/>
        <item x="40"/>
        <item x="42"/>
        <item x="39"/>
        <item x="41"/>
        <item x="45"/>
        <item x="46"/>
        <item x="38"/>
        <item x="51"/>
        <item x="37"/>
        <item x="47"/>
        <item x="36"/>
        <item x="48"/>
        <item x="35"/>
        <item x="34"/>
        <item x="33"/>
        <item x="0"/>
        <item x="50"/>
        <item x="49"/>
        <item x="32"/>
        <item x="31"/>
        <item x="1"/>
        <item x="2"/>
        <item x="30"/>
        <item x="3"/>
        <item x="4"/>
        <item x="29"/>
        <item x="28"/>
        <item x="5"/>
        <item x="27"/>
        <item x="6"/>
        <item x="8"/>
        <item x="26"/>
        <item x="7"/>
        <item x="25"/>
        <item x="24"/>
        <item x="23"/>
        <item x="22"/>
        <item x="9"/>
        <item x="21"/>
        <item x="10"/>
        <item x="20"/>
        <item x="19"/>
        <item x="18"/>
        <item x="11"/>
        <item x="17"/>
        <item x="12"/>
        <item x="16"/>
        <item x="15"/>
        <item x="13"/>
        <item x="14"/>
      </items>
    </pivotField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axis="axisRow" compact="0" showAll="0" defaultSubtotal="0">
      <items count="12">
        <item x="3"/>
        <item x="4"/>
        <item x="5"/>
        <item x="6"/>
        <item x="7"/>
        <item h="1" x="8"/>
        <item h="1" x="9"/>
        <item x="10"/>
        <item x="11"/>
        <item x="0"/>
        <item x="1"/>
        <item x="2"/>
      </items>
    </pivotField>
    <pivotField dataField="1" compact="0" showAll="0" defaultSubtotal="0"/>
    <pivotField dataField="1" compact="0" dragToRow="0" dragToCol="0" dragToPage="0" showAll="0" defaultSubtotal="0"/>
  </pivotFields>
  <rowFields count="2">
    <field x="0"/>
    <field x="11"/>
  </rowFields>
  <rowItems count="13">
    <i>
      <x/>
    </i>
    <i r="1">
      <x v="9"/>
    </i>
    <i r="1">
      <x v="10"/>
    </i>
    <i r="1">
      <x v="11"/>
    </i>
    <i>
      <x v="1"/>
    </i>
    <i r="1">
      <x/>
    </i>
    <i r="1">
      <x v="1"/>
    </i>
    <i r="1">
      <x v="2"/>
    </i>
    <i r="1">
      <x v="3"/>
    </i>
    <i r="1">
      <x v="4"/>
    </i>
    <i r="1">
      <x v="7"/>
    </i>
    <i r="1">
      <x v="8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positive" fld="12" baseField="11" baseItem="0"/>
    <dataField name="Sum of TOTAL SPECIMENS" fld="2" baseField="11" baseItem="0"/>
    <dataField name="Sum of pFluPositive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M53" totalsRowShown="0">
  <autoFilter ref="A1:M53"/>
  <tableColumns count="13">
    <tableColumn id="1" name="YEAR"/>
    <tableColumn id="2" name="WEEK"/>
    <tableColumn id="3" name="TOTAL SPECIMENS"/>
    <tableColumn id="4" name="A (H1)"/>
    <tableColumn id="5" name="A (Unable to Subtype)"/>
    <tableColumn id="6" name="A (H3)"/>
    <tableColumn id="7" name="2009 H1N1"/>
    <tableColumn id="8" name="A (Subtyping not Performed)"/>
    <tableColumn id="9" name="B"/>
    <tableColumn id="10" name="H3N2v"/>
    <tableColumn id="11" name="PERCENT POSITIVE"/>
    <tableColumn id="12" name="month" dataDxfId="1">
      <calculatedColumnFormula>MONTH(DATE(Table1[[#This Row],[YEAR]],1,Table1[[#This Row],[WEEK]]*7))</calculatedColumnFormula>
    </tableColumn>
    <tableColumn id="13" name="positive" dataDxfId="0">
      <calculatedColumnFormula>SUM((Table1[[#This Row],[A (H1)]:[H3N2v]]))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"/>
  <sheetViews>
    <sheetView tabSelected="1" workbookViewId="0">
      <selection sqref="A1:E16"/>
    </sheetView>
  </sheetViews>
  <sheetFormatPr defaultRowHeight="15" x14ac:dyDescent="0.25"/>
  <cols>
    <col min="1" max="1" width="13.140625" bestFit="1" customWidth="1"/>
    <col min="2" max="2" width="9.140625" customWidth="1"/>
    <col min="3" max="3" width="14.85546875" customWidth="1"/>
    <col min="4" max="4" width="24.140625" customWidth="1"/>
    <col min="5" max="6" width="18.85546875" customWidth="1"/>
    <col min="7" max="7" width="18.85546875" bestFit="1" customWidth="1"/>
  </cols>
  <sheetData>
    <row r="1" spans="1:9" x14ac:dyDescent="0.25">
      <c r="A1" t="s">
        <v>15</v>
      </c>
    </row>
    <row r="3" spans="1:9" x14ac:dyDescent="0.25">
      <c r="A3" s="1" t="s">
        <v>0</v>
      </c>
      <c r="B3" s="1" t="s">
        <v>13</v>
      </c>
      <c r="C3" s="3" t="s">
        <v>16</v>
      </c>
      <c r="D3" s="3" t="s">
        <v>12</v>
      </c>
      <c r="E3" s="3" t="s">
        <v>17</v>
      </c>
    </row>
    <row r="4" spans="1:9" x14ac:dyDescent="0.25">
      <c r="A4" s="3">
        <v>2013</v>
      </c>
      <c r="C4" s="2"/>
      <c r="D4" s="2"/>
      <c r="E4" s="2"/>
    </row>
    <row r="5" spans="1:9" x14ac:dyDescent="0.25">
      <c r="B5" s="3">
        <v>10</v>
      </c>
      <c r="C5" s="2">
        <v>813</v>
      </c>
      <c r="D5" s="2">
        <v>22296</v>
      </c>
      <c r="E5" s="2">
        <v>3.6463939720129172E-2</v>
      </c>
      <c r="I5" s="3"/>
    </row>
    <row r="6" spans="1:9" x14ac:dyDescent="0.25">
      <c r="B6" s="3">
        <v>11</v>
      </c>
      <c r="C6" s="2">
        <v>1925</v>
      </c>
      <c r="D6" s="2">
        <v>28116</v>
      </c>
      <c r="E6" s="2">
        <v>6.8466353677621286E-2</v>
      </c>
    </row>
    <row r="7" spans="1:9" x14ac:dyDescent="0.25">
      <c r="B7" s="3">
        <v>12</v>
      </c>
      <c r="C7" s="2">
        <v>13814</v>
      </c>
      <c r="D7" s="2">
        <v>57812</v>
      </c>
      <c r="E7" s="2">
        <v>0.23894693143292051</v>
      </c>
    </row>
    <row r="8" spans="1:9" x14ac:dyDescent="0.25">
      <c r="A8" s="3">
        <v>2014</v>
      </c>
      <c r="C8" s="2"/>
      <c r="D8" s="2"/>
      <c r="E8" s="2"/>
      <c r="G8">
        <v>3.6463939720129172E-2</v>
      </c>
    </row>
    <row r="9" spans="1:9" x14ac:dyDescent="0.25">
      <c r="B9" s="3">
        <v>1</v>
      </c>
      <c r="C9" s="2">
        <v>18882</v>
      </c>
      <c r="D9" s="2">
        <v>69628</v>
      </c>
      <c r="E9" s="2">
        <v>0.27118400643419316</v>
      </c>
      <c r="G9">
        <v>6.8466353677621286E-2</v>
      </c>
    </row>
    <row r="10" spans="1:9" x14ac:dyDescent="0.25">
      <c r="B10" s="3">
        <v>2</v>
      </c>
      <c r="C10" s="2">
        <v>8902</v>
      </c>
      <c r="D10" s="2">
        <v>50190</v>
      </c>
      <c r="E10" s="2">
        <v>0.17736600916517234</v>
      </c>
      <c r="G10">
        <v>0.23894693143292051</v>
      </c>
    </row>
    <row r="11" spans="1:9" x14ac:dyDescent="0.25">
      <c r="B11" s="3">
        <v>3</v>
      </c>
      <c r="C11" s="2">
        <v>4239</v>
      </c>
      <c r="D11" s="2">
        <v>36640</v>
      </c>
      <c r="E11" s="2">
        <v>0.11569323144104804</v>
      </c>
      <c r="G11">
        <v>0.27118400643419316</v>
      </c>
    </row>
    <row r="12" spans="1:9" x14ac:dyDescent="0.25">
      <c r="B12" s="3">
        <v>4</v>
      </c>
      <c r="C12" s="2">
        <v>4937</v>
      </c>
      <c r="D12" s="2">
        <v>35457</v>
      </c>
      <c r="E12" s="2">
        <v>0.13923907832021887</v>
      </c>
      <c r="G12">
        <v>0.17736600916517234</v>
      </c>
    </row>
    <row r="13" spans="1:9" x14ac:dyDescent="0.25">
      <c r="B13" s="3">
        <v>5</v>
      </c>
      <c r="C13" s="2">
        <v>2288</v>
      </c>
      <c r="D13" s="2">
        <v>21393</v>
      </c>
      <c r="E13" s="2">
        <v>0.10695087178048894</v>
      </c>
      <c r="G13">
        <v>0.11569323144104804</v>
      </c>
    </row>
    <row r="14" spans="1:9" x14ac:dyDescent="0.25">
      <c r="B14" s="3">
        <v>8</v>
      </c>
      <c r="C14" s="2">
        <v>413</v>
      </c>
      <c r="D14" s="2">
        <v>12414</v>
      </c>
      <c r="E14" s="2">
        <v>3.326888996294506E-2</v>
      </c>
      <c r="G14">
        <v>0.13923907832021887</v>
      </c>
    </row>
    <row r="15" spans="1:9" x14ac:dyDescent="0.25">
      <c r="B15" s="3">
        <v>9</v>
      </c>
      <c r="C15" s="2">
        <v>543</v>
      </c>
      <c r="D15" s="2">
        <v>21924</v>
      </c>
      <c r="E15" s="2">
        <v>2.4767378215654078E-2</v>
      </c>
      <c r="G15">
        <v>0.10695087178048894</v>
      </c>
    </row>
    <row r="16" spans="1:9" x14ac:dyDescent="0.25">
      <c r="A16" s="3" t="s">
        <v>11</v>
      </c>
      <c r="C16" s="2">
        <v>56756</v>
      </c>
      <c r="D16" s="2">
        <v>355870</v>
      </c>
      <c r="E16" s="2">
        <v>0.15948520527158794</v>
      </c>
      <c r="G16">
        <v>3.326888996294506E-2</v>
      </c>
    </row>
    <row r="17" spans="7:7" x14ac:dyDescent="0.25">
      <c r="G17">
        <v>2.4767378215654078E-2</v>
      </c>
    </row>
  </sheetData>
  <pageMargins left="0.7" right="0.7" top="0.75" bottom="0.75" header="0.3" footer="0.3"/>
  <pageSetup orientation="portrait" horizontalDpi="1200" verticalDpi="12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3"/>
  <sheetViews>
    <sheetView topLeftCell="A25" workbookViewId="0">
      <selection activeCell="Q1" sqref="Q1"/>
    </sheetView>
  </sheetViews>
  <sheetFormatPr defaultRowHeight="15" x14ac:dyDescent="0.25"/>
  <cols>
    <col min="3" max="3" width="19.28515625" customWidth="1"/>
    <col min="5" max="5" width="22.7109375" customWidth="1"/>
    <col min="7" max="7" width="12.28515625" customWidth="1"/>
    <col min="8" max="8" width="28.5703125" customWidth="1"/>
    <col min="11" max="11" width="19.42578125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13</v>
      </c>
      <c r="M1" t="s">
        <v>14</v>
      </c>
      <c r="Q1" t="s">
        <v>15</v>
      </c>
    </row>
    <row r="2" spans="1:17" x14ac:dyDescent="0.25">
      <c r="A2">
        <v>2013</v>
      </c>
      <c r="B2">
        <v>40</v>
      </c>
      <c r="C2">
        <v>4881</v>
      </c>
      <c r="D2">
        <v>0</v>
      </c>
      <c r="E2">
        <v>0</v>
      </c>
      <c r="F2">
        <v>13</v>
      </c>
      <c r="G2">
        <v>69</v>
      </c>
      <c r="H2">
        <v>83</v>
      </c>
      <c r="I2">
        <v>28</v>
      </c>
      <c r="J2">
        <v>1</v>
      </c>
      <c r="K2">
        <v>3.9745953698012699</v>
      </c>
      <c r="L2">
        <f>MONTH(DATE(Table1[[#This Row],[YEAR]],1,Table1[[#This Row],[WEEK]]*7))</f>
        <v>10</v>
      </c>
      <c r="M2">
        <f>SUM((Table1[[#This Row],[A (H1)]:[H3N2v]]))</f>
        <v>194</v>
      </c>
    </row>
    <row r="3" spans="1:17" x14ac:dyDescent="0.25">
      <c r="A3">
        <v>2013</v>
      </c>
      <c r="B3">
        <v>41</v>
      </c>
      <c r="C3">
        <v>5770</v>
      </c>
      <c r="D3">
        <v>0</v>
      </c>
      <c r="E3">
        <v>0</v>
      </c>
      <c r="F3">
        <v>24</v>
      </c>
      <c r="G3">
        <v>57</v>
      </c>
      <c r="H3">
        <v>116</v>
      </c>
      <c r="I3">
        <v>32</v>
      </c>
      <c r="J3">
        <v>0</v>
      </c>
      <c r="K3">
        <v>3.9688041594454102</v>
      </c>
      <c r="L3">
        <f>MONTH(DATE(Table1[[#This Row],[YEAR]],1,Table1[[#This Row],[WEEK]]*7))</f>
        <v>10</v>
      </c>
      <c r="M3">
        <f>SUM((Table1[[#This Row],[A (H1)]:[H3N2v]]))</f>
        <v>229</v>
      </c>
    </row>
    <row r="4" spans="1:17" x14ac:dyDescent="0.25">
      <c r="A4">
        <v>2013</v>
      </c>
      <c r="B4">
        <v>42</v>
      </c>
      <c r="C4">
        <v>5786</v>
      </c>
      <c r="D4">
        <v>0</v>
      </c>
      <c r="E4">
        <v>0</v>
      </c>
      <c r="F4">
        <v>16</v>
      </c>
      <c r="G4">
        <v>49</v>
      </c>
      <c r="H4">
        <v>94</v>
      </c>
      <c r="I4">
        <v>26</v>
      </c>
      <c r="J4">
        <v>0</v>
      </c>
      <c r="K4">
        <v>3.1973729692360902</v>
      </c>
      <c r="L4">
        <f>MONTH(DATE(Table1[[#This Row],[YEAR]],1,Table1[[#This Row],[WEEK]]*7))</f>
        <v>10</v>
      </c>
      <c r="M4">
        <f>SUM((Table1[[#This Row],[A (H1)]:[H3N2v]]))</f>
        <v>185</v>
      </c>
    </row>
    <row r="5" spans="1:17" x14ac:dyDescent="0.25">
      <c r="A5">
        <v>2013</v>
      </c>
      <c r="B5">
        <v>43</v>
      </c>
      <c r="C5">
        <v>5859</v>
      </c>
      <c r="D5">
        <v>0</v>
      </c>
      <c r="E5">
        <v>0</v>
      </c>
      <c r="F5">
        <v>18</v>
      </c>
      <c r="G5">
        <v>73</v>
      </c>
      <c r="H5">
        <v>100</v>
      </c>
      <c r="I5">
        <v>14</v>
      </c>
      <c r="J5">
        <v>0</v>
      </c>
      <c r="K5">
        <v>3.4988905956647902</v>
      </c>
      <c r="L5">
        <f>MONTH(DATE(Table1[[#This Row],[YEAR]],1,Table1[[#This Row],[WEEK]]*7))</f>
        <v>10</v>
      </c>
      <c r="M5">
        <f>SUM((Table1[[#This Row],[A (H1)]:[H3N2v]]))</f>
        <v>205</v>
      </c>
    </row>
    <row r="6" spans="1:17" x14ac:dyDescent="0.25">
      <c r="A6">
        <v>2013</v>
      </c>
      <c r="B6">
        <v>44</v>
      </c>
      <c r="C6">
        <v>6280</v>
      </c>
      <c r="D6">
        <v>0</v>
      </c>
      <c r="E6">
        <v>0</v>
      </c>
      <c r="F6">
        <v>26</v>
      </c>
      <c r="G6">
        <v>88</v>
      </c>
      <c r="H6">
        <v>136</v>
      </c>
      <c r="I6">
        <v>43</v>
      </c>
      <c r="J6">
        <v>0</v>
      </c>
      <c r="K6">
        <v>4.6656050955413999</v>
      </c>
      <c r="L6">
        <f>MONTH(DATE(Table1[[#This Row],[YEAR]],1,Table1[[#This Row],[WEEK]]*7))</f>
        <v>11</v>
      </c>
      <c r="M6">
        <f>SUM((Table1[[#This Row],[A (H1)]:[H3N2v]]))</f>
        <v>293</v>
      </c>
    </row>
    <row r="7" spans="1:17" x14ac:dyDescent="0.25">
      <c r="A7">
        <v>2013</v>
      </c>
      <c r="B7">
        <v>45</v>
      </c>
      <c r="C7">
        <v>6876</v>
      </c>
      <c r="D7">
        <v>0</v>
      </c>
      <c r="E7">
        <v>0</v>
      </c>
      <c r="F7">
        <v>29</v>
      </c>
      <c r="G7">
        <v>157</v>
      </c>
      <c r="H7">
        <v>171</v>
      </c>
      <c r="I7">
        <v>43</v>
      </c>
      <c r="J7">
        <v>0</v>
      </c>
      <c r="K7">
        <v>5.8173356602675996</v>
      </c>
      <c r="L7">
        <f>MONTH(DATE(Table1[[#This Row],[YEAR]],1,Table1[[#This Row],[WEEK]]*7))</f>
        <v>11</v>
      </c>
      <c r="M7">
        <f>SUM((Table1[[#This Row],[A (H1)]:[H3N2v]]))</f>
        <v>400</v>
      </c>
    </row>
    <row r="8" spans="1:17" x14ac:dyDescent="0.25">
      <c r="A8">
        <v>2013</v>
      </c>
      <c r="B8">
        <v>46</v>
      </c>
      <c r="C8">
        <v>7159</v>
      </c>
      <c r="D8">
        <v>0</v>
      </c>
      <c r="E8">
        <v>0</v>
      </c>
      <c r="F8">
        <v>21</v>
      </c>
      <c r="G8">
        <v>272</v>
      </c>
      <c r="H8">
        <v>188</v>
      </c>
      <c r="I8">
        <v>37</v>
      </c>
      <c r="J8">
        <v>0</v>
      </c>
      <c r="K8">
        <v>7.2356474367928501</v>
      </c>
      <c r="L8">
        <f>MONTH(DATE(Table1[[#This Row],[YEAR]],1,Table1[[#This Row],[WEEK]]*7))</f>
        <v>11</v>
      </c>
      <c r="M8">
        <f>SUM((Table1[[#This Row],[A (H1)]:[H3N2v]]))</f>
        <v>518</v>
      </c>
    </row>
    <row r="9" spans="1:17" x14ac:dyDescent="0.25">
      <c r="A9">
        <v>2013</v>
      </c>
      <c r="B9">
        <v>47</v>
      </c>
      <c r="C9">
        <v>7801</v>
      </c>
      <c r="D9">
        <v>0</v>
      </c>
      <c r="E9">
        <v>0</v>
      </c>
      <c r="F9">
        <v>22</v>
      </c>
      <c r="G9">
        <v>425</v>
      </c>
      <c r="H9">
        <v>210</v>
      </c>
      <c r="I9">
        <v>57</v>
      </c>
      <c r="J9">
        <v>0</v>
      </c>
      <c r="K9">
        <v>9.15267273426484</v>
      </c>
      <c r="L9">
        <f>MONTH(DATE(Table1[[#This Row],[YEAR]],1,Table1[[#This Row],[WEEK]]*7))</f>
        <v>11</v>
      </c>
      <c r="M9">
        <f>SUM((Table1[[#This Row],[A (H1)]:[H3N2v]]))</f>
        <v>714</v>
      </c>
    </row>
    <row r="10" spans="1:17" x14ac:dyDescent="0.25">
      <c r="A10">
        <v>2013</v>
      </c>
      <c r="B10">
        <v>48</v>
      </c>
      <c r="C10">
        <v>7295</v>
      </c>
      <c r="D10">
        <v>0</v>
      </c>
      <c r="E10">
        <v>0</v>
      </c>
      <c r="F10">
        <v>29</v>
      </c>
      <c r="G10">
        <v>483</v>
      </c>
      <c r="H10">
        <v>330</v>
      </c>
      <c r="I10">
        <v>41</v>
      </c>
      <c r="J10">
        <v>0</v>
      </c>
      <c r="K10">
        <v>12.104180945853299</v>
      </c>
      <c r="L10">
        <f>MONTH(DATE(Table1[[#This Row],[YEAR]],1,Table1[[#This Row],[WEEK]]*7))</f>
        <v>12</v>
      </c>
      <c r="M10">
        <f>SUM((Table1[[#This Row],[A (H1)]:[H3N2v]]))</f>
        <v>883</v>
      </c>
    </row>
    <row r="11" spans="1:17" x14ac:dyDescent="0.25">
      <c r="A11">
        <v>2013</v>
      </c>
      <c r="B11">
        <v>49</v>
      </c>
      <c r="C11">
        <v>10114</v>
      </c>
      <c r="D11">
        <v>0</v>
      </c>
      <c r="E11">
        <v>0</v>
      </c>
      <c r="F11">
        <v>34</v>
      </c>
      <c r="G11">
        <v>1021</v>
      </c>
      <c r="H11">
        <v>726</v>
      </c>
      <c r="I11">
        <v>69</v>
      </c>
      <c r="J11">
        <v>0</v>
      </c>
      <c r="K11">
        <v>18.291477160371802</v>
      </c>
      <c r="L11">
        <f>MONTH(DATE(Table1[[#This Row],[YEAR]],1,Table1[[#This Row],[WEEK]]*7))</f>
        <v>12</v>
      </c>
      <c r="M11">
        <f>SUM((Table1[[#This Row],[A (H1)]:[H3N2v]]))</f>
        <v>1850</v>
      </c>
    </row>
    <row r="12" spans="1:17" x14ac:dyDescent="0.25">
      <c r="A12">
        <v>2013</v>
      </c>
      <c r="B12">
        <v>50</v>
      </c>
      <c r="C12">
        <v>10789</v>
      </c>
      <c r="D12">
        <v>0</v>
      </c>
      <c r="E12">
        <v>0</v>
      </c>
      <c r="F12">
        <v>56</v>
      </c>
      <c r="G12">
        <v>1324</v>
      </c>
      <c r="H12">
        <v>815</v>
      </c>
      <c r="I12">
        <v>52</v>
      </c>
      <c r="J12">
        <v>0</v>
      </c>
      <c r="K12">
        <v>20.826768004449001</v>
      </c>
      <c r="L12">
        <f>MONTH(DATE(Table1[[#This Row],[YEAR]],1,Table1[[#This Row],[WEEK]]*7))</f>
        <v>12</v>
      </c>
      <c r="M12">
        <f>SUM((Table1[[#This Row],[A (H1)]:[H3N2v]]))</f>
        <v>2247</v>
      </c>
    </row>
    <row r="13" spans="1:17" x14ac:dyDescent="0.25">
      <c r="A13">
        <v>2013</v>
      </c>
      <c r="B13">
        <v>51</v>
      </c>
      <c r="C13">
        <v>13937</v>
      </c>
      <c r="D13">
        <v>0</v>
      </c>
      <c r="E13">
        <v>0</v>
      </c>
      <c r="F13">
        <v>51</v>
      </c>
      <c r="G13">
        <v>2231</v>
      </c>
      <c r="H13">
        <v>1600</v>
      </c>
      <c r="I13">
        <v>67</v>
      </c>
      <c r="J13">
        <v>0</v>
      </c>
      <c r="K13">
        <v>28.3346487766377</v>
      </c>
      <c r="L13">
        <f>MONTH(DATE(Table1[[#This Row],[YEAR]],1,Table1[[#This Row],[WEEK]]*7))</f>
        <v>12</v>
      </c>
      <c r="M13">
        <f>SUM((Table1[[#This Row],[A (H1)]:[H3N2v]]))</f>
        <v>3949</v>
      </c>
    </row>
    <row r="14" spans="1:17" x14ac:dyDescent="0.25">
      <c r="A14">
        <v>2013</v>
      </c>
      <c r="B14">
        <v>52</v>
      </c>
      <c r="C14">
        <v>15677</v>
      </c>
      <c r="D14">
        <v>0</v>
      </c>
      <c r="E14">
        <v>0</v>
      </c>
      <c r="F14">
        <v>47</v>
      </c>
      <c r="G14">
        <v>3004</v>
      </c>
      <c r="H14">
        <v>1741</v>
      </c>
      <c r="I14">
        <v>93</v>
      </c>
      <c r="J14">
        <v>0</v>
      </c>
      <c r="K14">
        <v>31.160298526503801</v>
      </c>
      <c r="L14">
        <f>MONTH(DATE(Table1[[#This Row],[YEAR]],1,Table1[[#This Row],[WEEK]]*7))</f>
        <v>12</v>
      </c>
      <c r="M14">
        <f>SUM((Table1[[#This Row],[A (H1)]:[H3N2v]]))</f>
        <v>4885</v>
      </c>
    </row>
    <row r="15" spans="1:17" x14ac:dyDescent="0.25">
      <c r="A15">
        <v>2014</v>
      </c>
      <c r="B15">
        <v>1</v>
      </c>
      <c r="C15">
        <v>17684</v>
      </c>
      <c r="D15">
        <v>0</v>
      </c>
      <c r="E15">
        <v>0</v>
      </c>
      <c r="F15">
        <v>84</v>
      </c>
      <c r="G15">
        <v>3474</v>
      </c>
      <c r="H15">
        <v>1536</v>
      </c>
      <c r="I15">
        <v>88</v>
      </c>
      <c r="J15">
        <v>0</v>
      </c>
      <c r="K15">
        <v>29.3033250395838</v>
      </c>
      <c r="L15">
        <f>MONTH(DATE(Table1[[#This Row],[YEAR]],1,Table1[[#This Row],[WEEK]]*7))</f>
        <v>1</v>
      </c>
      <c r="M15">
        <f>SUM((Table1[[#This Row],[A (H1)]:[H3N2v]]))</f>
        <v>5182</v>
      </c>
    </row>
    <row r="16" spans="1:17" x14ac:dyDescent="0.25">
      <c r="A16">
        <v>2014</v>
      </c>
      <c r="B16">
        <v>2</v>
      </c>
      <c r="C16">
        <v>18159</v>
      </c>
      <c r="D16">
        <v>0</v>
      </c>
      <c r="E16">
        <v>0</v>
      </c>
      <c r="F16">
        <v>106</v>
      </c>
      <c r="G16">
        <v>3540</v>
      </c>
      <c r="H16">
        <v>1311</v>
      </c>
      <c r="I16">
        <v>91</v>
      </c>
      <c r="J16">
        <v>0</v>
      </c>
      <c r="K16">
        <v>27.798887603942902</v>
      </c>
      <c r="L16">
        <f>MONTH(DATE(Table1[[#This Row],[YEAR]],1,Table1[[#This Row],[WEEK]]*7))</f>
        <v>1</v>
      </c>
      <c r="M16">
        <f>SUM((Table1[[#This Row],[A (H1)]:[H3N2v]]))</f>
        <v>5048</v>
      </c>
    </row>
    <row r="17" spans="1:13" x14ac:dyDescent="0.25">
      <c r="A17">
        <v>2014</v>
      </c>
      <c r="B17">
        <v>3</v>
      </c>
      <c r="C17">
        <v>17397</v>
      </c>
      <c r="D17">
        <v>0</v>
      </c>
      <c r="E17">
        <v>0</v>
      </c>
      <c r="F17">
        <v>126</v>
      </c>
      <c r="G17">
        <v>3254</v>
      </c>
      <c r="H17">
        <v>1156</v>
      </c>
      <c r="I17">
        <v>131</v>
      </c>
      <c r="J17">
        <v>0</v>
      </c>
      <c r="K17">
        <v>26.826464332931</v>
      </c>
      <c r="L17">
        <f>MONTH(DATE(Table1[[#This Row],[YEAR]],1,Table1[[#This Row],[WEEK]]*7))</f>
        <v>1</v>
      </c>
      <c r="M17">
        <f>SUM((Table1[[#This Row],[A (H1)]:[H3N2v]]))</f>
        <v>4667</v>
      </c>
    </row>
    <row r="18" spans="1:13" x14ac:dyDescent="0.25">
      <c r="A18">
        <v>2014</v>
      </c>
      <c r="B18">
        <v>4</v>
      </c>
      <c r="C18">
        <v>16388</v>
      </c>
      <c r="D18">
        <v>0</v>
      </c>
      <c r="E18">
        <v>0</v>
      </c>
      <c r="F18">
        <v>132</v>
      </c>
      <c r="G18">
        <v>2632</v>
      </c>
      <c r="H18">
        <v>1036</v>
      </c>
      <c r="I18">
        <v>185</v>
      </c>
      <c r="J18">
        <v>0</v>
      </c>
      <c r="K18">
        <v>24.316573102269999</v>
      </c>
      <c r="L18">
        <f>MONTH(DATE(Table1[[#This Row],[YEAR]],1,Table1[[#This Row],[WEEK]]*7))</f>
        <v>1</v>
      </c>
      <c r="M18">
        <f>SUM((Table1[[#This Row],[A (H1)]:[H3N2v]]))</f>
        <v>3985</v>
      </c>
    </row>
    <row r="19" spans="1:13" x14ac:dyDescent="0.25">
      <c r="A19">
        <v>2014</v>
      </c>
      <c r="B19">
        <v>5</v>
      </c>
      <c r="C19">
        <v>14550</v>
      </c>
      <c r="D19">
        <v>0</v>
      </c>
      <c r="E19">
        <v>0</v>
      </c>
      <c r="F19">
        <v>93</v>
      </c>
      <c r="G19">
        <v>1931</v>
      </c>
      <c r="H19">
        <v>775</v>
      </c>
      <c r="I19">
        <v>174</v>
      </c>
      <c r="J19">
        <v>0</v>
      </c>
      <c r="K19">
        <v>20.432989690721602</v>
      </c>
      <c r="L19">
        <f>MONTH(DATE(Table1[[#This Row],[YEAR]],1,Table1[[#This Row],[WEEK]]*7))</f>
        <v>2</v>
      </c>
      <c r="M19">
        <f>SUM((Table1[[#This Row],[A (H1)]:[H3N2v]]))</f>
        <v>2973</v>
      </c>
    </row>
    <row r="20" spans="1:13" x14ac:dyDescent="0.25">
      <c r="A20">
        <v>2014</v>
      </c>
      <c r="B20">
        <v>6</v>
      </c>
      <c r="C20">
        <v>12936</v>
      </c>
      <c r="D20">
        <v>0</v>
      </c>
      <c r="E20">
        <v>0</v>
      </c>
      <c r="F20">
        <v>130</v>
      </c>
      <c r="G20">
        <v>1567</v>
      </c>
      <c r="H20">
        <v>557</v>
      </c>
      <c r="I20">
        <v>218</v>
      </c>
      <c r="J20">
        <v>0</v>
      </c>
      <c r="K20">
        <v>19.109461966604801</v>
      </c>
      <c r="L20">
        <f>MONTH(DATE(Table1[[#This Row],[YEAR]],1,Table1[[#This Row],[WEEK]]*7))</f>
        <v>2</v>
      </c>
      <c r="M20">
        <f>SUM((Table1[[#This Row],[A (H1)]:[H3N2v]]))</f>
        <v>2472</v>
      </c>
    </row>
    <row r="21" spans="1:13" x14ac:dyDescent="0.25">
      <c r="A21">
        <v>2014</v>
      </c>
      <c r="B21">
        <v>7</v>
      </c>
      <c r="C21">
        <v>11632</v>
      </c>
      <c r="D21">
        <v>0</v>
      </c>
      <c r="E21">
        <v>0</v>
      </c>
      <c r="F21">
        <v>102</v>
      </c>
      <c r="G21">
        <v>1128</v>
      </c>
      <c r="H21">
        <v>486</v>
      </c>
      <c r="I21">
        <v>227</v>
      </c>
      <c r="J21">
        <v>0</v>
      </c>
      <c r="K21">
        <v>16.703920220082502</v>
      </c>
      <c r="L21">
        <f>MONTH(DATE(Table1[[#This Row],[YEAR]],1,Table1[[#This Row],[WEEK]]*7))</f>
        <v>2</v>
      </c>
      <c r="M21">
        <f>SUM((Table1[[#This Row],[A (H1)]:[H3N2v]]))</f>
        <v>1943</v>
      </c>
    </row>
    <row r="22" spans="1:13" x14ac:dyDescent="0.25">
      <c r="A22">
        <v>2014</v>
      </c>
      <c r="B22">
        <v>8</v>
      </c>
      <c r="C22">
        <v>11072</v>
      </c>
      <c r="D22">
        <v>0</v>
      </c>
      <c r="E22">
        <v>0</v>
      </c>
      <c r="F22">
        <v>93</v>
      </c>
      <c r="G22">
        <v>836</v>
      </c>
      <c r="H22">
        <v>337</v>
      </c>
      <c r="I22">
        <v>248</v>
      </c>
      <c r="J22">
        <v>0</v>
      </c>
      <c r="K22">
        <v>13.674132947976901</v>
      </c>
      <c r="L22">
        <f>MONTH(DATE(Table1[[#This Row],[YEAR]],1,Table1[[#This Row],[WEEK]]*7))</f>
        <v>2</v>
      </c>
      <c r="M22">
        <f>SUM((Table1[[#This Row],[A (H1)]:[H3N2v]]))</f>
        <v>1514</v>
      </c>
    </row>
    <row r="23" spans="1:13" x14ac:dyDescent="0.25">
      <c r="A23">
        <v>2014</v>
      </c>
      <c r="B23">
        <v>9</v>
      </c>
      <c r="C23">
        <v>10188</v>
      </c>
      <c r="D23">
        <v>0</v>
      </c>
      <c r="E23">
        <v>0</v>
      </c>
      <c r="F23">
        <v>102</v>
      </c>
      <c r="G23">
        <v>575</v>
      </c>
      <c r="H23">
        <v>261</v>
      </c>
      <c r="I23">
        <v>273</v>
      </c>
      <c r="J23">
        <v>0</v>
      </c>
      <c r="K23">
        <v>11.8865331762858</v>
      </c>
      <c r="L23">
        <f>MONTH(DATE(Table1[[#This Row],[YEAR]],1,Table1[[#This Row],[WEEK]]*7))</f>
        <v>3</v>
      </c>
      <c r="M23">
        <f>SUM((Table1[[#This Row],[A (H1)]:[H3N2v]]))</f>
        <v>1211</v>
      </c>
    </row>
    <row r="24" spans="1:13" x14ac:dyDescent="0.25">
      <c r="A24">
        <v>2014</v>
      </c>
      <c r="B24">
        <v>10</v>
      </c>
      <c r="C24">
        <v>9406</v>
      </c>
      <c r="D24">
        <v>0</v>
      </c>
      <c r="E24">
        <v>0</v>
      </c>
      <c r="F24">
        <v>102</v>
      </c>
      <c r="G24">
        <v>410</v>
      </c>
      <c r="H24">
        <v>207</v>
      </c>
      <c r="I24">
        <v>300</v>
      </c>
      <c r="J24">
        <v>0</v>
      </c>
      <c r="K24">
        <v>10.833510525196701</v>
      </c>
      <c r="L24">
        <f>MONTH(DATE(Table1[[#This Row],[YEAR]],1,Table1[[#This Row],[WEEK]]*7))</f>
        <v>3</v>
      </c>
      <c r="M24">
        <f>SUM((Table1[[#This Row],[A (H1)]:[H3N2v]]))</f>
        <v>1019</v>
      </c>
    </row>
    <row r="25" spans="1:13" x14ac:dyDescent="0.25">
      <c r="A25">
        <v>2014</v>
      </c>
      <c r="B25">
        <v>11</v>
      </c>
      <c r="C25">
        <v>8874</v>
      </c>
      <c r="D25">
        <v>0</v>
      </c>
      <c r="E25">
        <v>0</v>
      </c>
      <c r="F25">
        <v>138</v>
      </c>
      <c r="G25">
        <v>347</v>
      </c>
      <c r="H25">
        <v>163</v>
      </c>
      <c r="I25">
        <v>334</v>
      </c>
      <c r="J25">
        <v>0</v>
      </c>
      <c r="K25">
        <v>11.0660356096462</v>
      </c>
      <c r="L25">
        <f>MONTH(DATE(Table1[[#This Row],[YEAR]],1,Table1[[#This Row],[WEEK]]*7))</f>
        <v>3</v>
      </c>
      <c r="M25">
        <f>SUM((Table1[[#This Row],[A (H1)]:[H3N2v]]))</f>
        <v>982</v>
      </c>
    </row>
    <row r="26" spans="1:13" x14ac:dyDescent="0.25">
      <c r="A26">
        <v>2014</v>
      </c>
      <c r="B26">
        <v>12</v>
      </c>
      <c r="C26">
        <v>8172</v>
      </c>
      <c r="D26">
        <v>0</v>
      </c>
      <c r="E26">
        <v>0</v>
      </c>
      <c r="F26">
        <v>164</v>
      </c>
      <c r="G26">
        <v>209</v>
      </c>
      <c r="H26">
        <v>190</v>
      </c>
      <c r="I26">
        <v>464</v>
      </c>
      <c r="J26">
        <v>0</v>
      </c>
      <c r="K26">
        <v>12.567302985805201</v>
      </c>
      <c r="L26">
        <f>MONTH(DATE(Table1[[#This Row],[YEAR]],1,Table1[[#This Row],[WEEK]]*7))</f>
        <v>3</v>
      </c>
      <c r="M26">
        <f>SUM((Table1[[#This Row],[A (H1)]:[H3N2v]]))</f>
        <v>1027</v>
      </c>
    </row>
    <row r="27" spans="1:13" x14ac:dyDescent="0.25">
      <c r="A27">
        <v>2014</v>
      </c>
      <c r="B27">
        <v>13</v>
      </c>
      <c r="C27">
        <v>7874</v>
      </c>
      <c r="D27">
        <v>0</v>
      </c>
      <c r="E27">
        <v>0</v>
      </c>
      <c r="F27">
        <v>184</v>
      </c>
      <c r="G27">
        <v>155</v>
      </c>
      <c r="H27">
        <v>188</v>
      </c>
      <c r="I27">
        <v>525</v>
      </c>
      <c r="J27">
        <v>0</v>
      </c>
      <c r="K27">
        <v>13.3604267208534</v>
      </c>
      <c r="L27">
        <f>MONTH(DATE(Table1[[#This Row],[YEAR]],1,Table1[[#This Row],[WEEK]]*7))</f>
        <v>4</v>
      </c>
      <c r="M27">
        <f>SUM((Table1[[#This Row],[A (H1)]:[H3N2v]]))</f>
        <v>1052</v>
      </c>
    </row>
    <row r="28" spans="1:13" x14ac:dyDescent="0.25">
      <c r="A28">
        <v>2014</v>
      </c>
      <c r="B28">
        <v>14</v>
      </c>
      <c r="C28">
        <v>7504</v>
      </c>
      <c r="D28">
        <v>0</v>
      </c>
      <c r="E28">
        <v>0</v>
      </c>
      <c r="F28">
        <v>236</v>
      </c>
      <c r="G28">
        <v>112</v>
      </c>
      <c r="H28">
        <v>145</v>
      </c>
      <c r="I28">
        <v>595</v>
      </c>
      <c r="J28">
        <v>0</v>
      </c>
      <c r="K28">
        <v>14.498933901918999</v>
      </c>
      <c r="L28">
        <f>MONTH(DATE(Table1[[#This Row],[YEAR]],1,Table1[[#This Row],[WEEK]]*7))</f>
        <v>4</v>
      </c>
      <c r="M28">
        <f>SUM((Table1[[#This Row],[A (H1)]:[H3N2v]]))</f>
        <v>1088</v>
      </c>
    </row>
    <row r="29" spans="1:13" x14ac:dyDescent="0.25">
      <c r="A29">
        <v>2014</v>
      </c>
      <c r="B29">
        <v>15</v>
      </c>
      <c r="C29">
        <v>7157</v>
      </c>
      <c r="D29">
        <v>0</v>
      </c>
      <c r="E29">
        <v>0</v>
      </c>
      <c r="F29">
        <v>225</v>
      </c>
      <c r="G29">
        <v>54</v>
      </c>
      <c r="H29">
        <v>168</v>
      </c>
      <c r="I29">
        <v>624</v>
      </c>
      <c r="J29">
        <v>0</v>
      </c>
      <c r="K29">
        <v>14.9643705463183</v>
      </c>
      <c r="L29">
        <f>MONTH(DATE(Table1[[#This Row],[YEAR]],1,Table1[[#This Row],[WEEK]]*7))</f>
        <v>4</v>
      </c>
      <c r="M29">
        <f>SUM((Table1[[#This Row],[A (H1)]:[H3N2v]]))</f>
        <v>1071</v>
      </c>
    </row>
    <row r="30" spans="1:13" x14ac:dyDescent="0.25">
      <c r="A30">
        <v>2014</v>
      </c>
      <c r="B30">
        <v>16</v>
      </c>
      <c r="C30">
        <v>6620</v>
      </c>
      <c r="D30">
        <v>0</v>
      </c>
      <c r="E30">
        <v>0</v>
      </c>
      <c r="F30">
        <v>224</v>
      </c>
      <c r="G30">
        <v>30</v>
      </c>
      <c r="H30">
        <v>138</v>
      </c>
      <c r="I30">
        <v>516</v>
      </c>
      <c r="J30">
        <v>0</v>
      </c>
      <c r="K30">
        <v>13.7160120845921</v>
      </c>
      <c r="L30">
        <f>MONTH(DATE(Table1[[#This Row],[YEAR]],1,Table1[[#This Row],[WEEK]]*7))</f>
        <v>4</v>
      </c>
      <c r="M30">
        <f>SUM((Table1[[#This Row],[A (H1)]:[H3N2v]]))</f>
        <v>908</v>
      </c>
    </row>
    <row r="31" spans="1:13" x14ac:dyDescent="0.25">
      <c r="A31">
        <v>2014</v>
      </c>
      <c r="B31">
        <v>17</v>
      </c>
      <c r="C31">
        <v>6302</v>
      </c>
      <c r="D31">
        <v>0</v>
      </c>
      <c r="E31">
        <v>0</v>
      </c>
      <c r="F31">
        <v>191</v>
      </c>
      <c r="G31">
        <v>29</v>
      </c>
      <c r="H31">
        <v>129</v>
      </c>
      <c r="I31">
        <v>469</v>
      </c>
      <c r="J31">
        <v>0</v>
      </c>
      <c r="K31">
        <v>12.9800063471914</v>
      </c>
      <c r="L31">
        <f>MONTH(DATE(Table1[[#This Row],[YEAR]],1,Table1[[#This Row],[WEEK]]*7))</f>
        <v>4</v>
      </c>
      <c r="M31">
        <f>SUM((Table1[[#This Row],[A (H1)]:[H3N2v]]))</f>
        <v>818</v>
      </c>
    </row>
    <row r="32" spans="1:13" x14ac:dyDescent="0.25">
      <c r="A32">
        <v>2014</v>
      </c>
      <c r="B32">
        <v>18</v>
      </c>
      <c r="C32">
        <v>5847</v>
      </c>
      <c r="D32">
        <v>0</v>
      </c>
      <c r="E32">
        <v>0</v>
      </c>
      <c r="F32">
        <v>151</v>
      </c>
      <c r="G32">
        <v>13</v>
      </c>
      <c r="H32">
        <v>131</v>
      </c>
      <c r="I32">
        <v>447</v>
      </c>
      <c r="J32">
        <v>0</v>
      </c>
      <c r="K32">
        <v>12.6902685137677</v>
      </c>
      <c r="L32">
        <f>MONTH(DATE(Table1[[#This Row],[YEAR]],1,Table1[[#This Row],[WEEK]]*7))</f>
        <v>5</v>
      </c>
      <c r="M32">
        <f>SUM((Table1[[#This Row],[A (H1)]:[H3N2v]]))</f>
        <v>742</v>
      </c>
    </row>
    <row r="33" spans="1:13" x14ac:dyDescent="0.25">
      <c r="A33">
        <v>2014</v>
      </c>
      <c r="B33">
        <v>19</v>
      </c>
      <c r="C33">
        <v>5422</v>
      </c>
      <c r="D33">
        <v>0</v>
      </c>
      <c r="E33">
        <v>0</v>
      </c>
      <c r="F33">
        <v>130</v>
      </c>
      <c r="G33">
        <v>7</v>
      </c>
      <c r="H33">
        <v>104</v>
      </c>
      <c r="I33">
        <v>354</v>
      </c>
      <c r="J33">
        <v>0</v>
      </c>
      <c r="K33">
        <v>10.9738104020657</v>
      </c>
      <c r="L33">
        <f>MONTH(DATE(Table1[[#This Row],[YEAR]],1,Table1[[#This Row],[WEEK]]*7))</f>
        <v>5</v>
      </c>
      <c r="M33">
        <f>SUM((Table1[[#This Row],[A (H1)]:[H3N2v]]))</f>
        <v>595</v>
      </c>
    </row>
    <row r="34" spans="1:13" x14ac:dyDescent="0.25">
      <c r="A34">
        <v>2014</v>
      </c>
      <c r="B34">
        <v>20</v>
      </c>
      <c r="C34">
        <v>5304</v>
      </c>
      <c r="D34">
        <v>0</v>
      </c>
      <c r="E34">
        <v>0</v>
      </c>
      <c r="F34">
        <v>119</v>
      </c>
      <c r="G34">
        <v>6</v>
      </c>
      <c r="H34">
        <v>102</v>
      </c>
      <c r="I34">
        <v>322</v>
      </c>
      <c r="J34">
        <v>0</v>
      </c>
      <c r="K34">
        <v>10.3506787330317</v>
      </c>
      <c r="L34">
        <f>MONTH(DATE(Table1[[#This Row],[YEAR]],1,Table1[[#This Row],[WEEK]]*7))</f>
        <v>5</v>
      </c>
      <c r="M34">
        <f>SUM((Table1[[#This Row],[A (H1)]:[H3N2v]]))</f>
        <v>549</v>
      </c>
    </row>
    <row r="35" spans="1:13" x14ac:dyDescent="0.25">
      <c r="A35">
        <v>2014</v>
      </c>
      <c r="B35">
        <v>21</v>
      </c>
      <c r="C35">
        <v>4820</v>
      </c>
      <c r="D35">
        <v>0</v>
      </c>
      <c r="E35">
        <v>0</v>
      </c>
      <c r="F35">
        <v>104</v>
      </c>
      <c r="G35">
        <v>1</v>
      </c>
      <c r="H35">
        <v>62</v>
      </c>
      <c r="I35">
        <v>235</v>
      </c>
      <c r="J35">
        <v>0</v>
      </c>
      <c r="K35">
        <v>8.3402489626556005</v>
      </c>
      <c r="L35">
        <f>MONTH(DATE(Table1[[#This Row],[YEAR]],1,Table1[[#This Row],[WEEK]]*7))</f>
        <v>5</v>
      </c>
      <c r="M35">
        <f>SUM((Table1[[#This Row],[A (H1)]:[H3N2v]]))</f>
        <v>402</v>
      </c>
    </row>
    <row r="36" spans="1:13" x14ac:dyDescent="0.25">
      <c r="A36">
        <v>2014</v>
      </c>
      <c r="B36">
        <v>22</v>
      </c>
      <c r="C36">
        <v>4748</v>
      </c>
      <c r="D36">
        <v>0</v>
      </c>
      <c r="E36">
        <v>0</v>
      </c>
      <c r="F36">
        <v>115</v>
      </c>
      <c r="G36">
        <v>3</v>
      </c>
      <c r="H36">
        <v>80</v>
      </c>
      <c r="I36">
        <v>225</v>
      </c>
      <c r="J36">
        <v>0</v>
      </c>
      <c r="K36">
        <v>8.9090143218197095</v>
      </c>
      <c r="L36">
        <f>MONTH(DATE(Table1[[#This Row],[YEAR]],1,Table1[[#This Row],[WEEK]]*7))</f>
        <v>6</v>
      </c>
      <c r="M36">
        <f>SUM((Table1[[#This Row],[A (H1)]:[H3N2v]]))</f>
        <v>423</v>
      </c>
    </row>
    <row r="37" spans="1:13" x14ac:dyDescent="0.25">
      <c r="A37">
        <v>2014</v>
      </c>
      <c r="B37">
        <v>23</v>
      </c>
      <c r="C37">
        <v>4291</v>
      </c>
      <c r="D37">
        <v>0</v>
      </c>
      <c r="E37">
        <v>0</v>
      </c>
      <c r="F37">
        <v>96</v>
      </c>
      <c r="G37">
        <v>3</v>
      </c>
      <c r="H37">
        <v>51</v>
      </c>
      <c r="I37">
        <v>160</v>
      </c>
      <c r="J37">
        <v>0</v>
      </c>
      <c r="K37">
        <v>7.2244232113726401</v>
      </c>
      <c r="L37">
        <f>MONTH(DATE(Table1[[#This Row],[YEAR]],1,Table1[[#This Row],[WEEK]]*7))</f>
        <v>6</v>
      </c>
      <c r="M37">
        <f>SUM((Table1[[#This Row],[A (H1)]:[H3N2v]]))</f>
        <v>310</v>
      </c>
    </row>
    <row r="38" spans="1:13" x14ac:dyDescent="0.25">
      <c r="A38">
        <v>2014</v>
      </c>
      <c r="B38">
        <v>24</v>
      </c>
      <c r="C38">
        <v>4117</v>
      </c>
      <c r="D38">
        <v>0</v>
      </c>
      <c r="E38">
        <v>0</v>
      </c>
      <c r="F38">
        <v>102</v>
      </c>
      <c r="G38">
        <v>3</v>
      </c>
      <c r="H38">
        <v>49</v>
      </c>
      <c r="I38">
        <v>140</v>
      </c>
      <c r="J38">
        <v>0</v>
      </c>
      <c r="K38">
        <v>7.1411221763419999</v>
      </c>
      <c r="L38">
        <f>MONTH(DATE(Table1[[#This Row],[YEAR]],1,Table1[[#This Row],[WEEK]]*7))</f>
        <v>6</v>
      </c>
      <c r="M38">
        <f>SUM((Table1[[#This Row],[A (H1)]:[H3N2v]]))</f>
        <v>294</v>
      </c>
    </row>
    <row r="39" spans="1:13" x14ac:dyDescent="0.25">
      <c r="A39">
        <v>2014</v>
      </c>
      <c r="B39">
        <v>25</v>
      </c>
      <c r="C39">
        <v>3861</v>
      </c>
      <c r="D39">
        <v>0</v>
      </c>
      <c r="E39">
        <v>0</v>
      </c>
      <c r="F39">
        <v>69</v>
      </c>
      <c r="G39">
        <v>3</v>
      </c>
      <c r="H39">
        <v>43</v>
      </c>
      <c r="I39">
        <v>113</v>
      </c>
      <c r="J39">
        <v>0</v>
      </c>
      <c r="K39">
        <v>5.9052059052059098</v>
      </c>
      <c r="L39">
        <f>MONTH(DATE(Table1[[#This Row],[YEAR]],1,Table1[[#This Row],[WEEK]]*7))</f>
        <v>6</v>
      </c>
      <c r="M39">
        <f>SUM((Table1[[#This Row],[A (H1)]:[H3N2v]]))</f>
        <v>228</v>
      </c>
    </row>
    <row r="40" spans="1:13" x14ac:dyDescent="0.25">
      <c r="A40">
        <v>2014</v>
      </c>
      <c r="B40">
        <v>26</v>
      </c>
      <c r="C40">
        <v>3427</v>
      </c>
      <c r="D40">
        <v>0</v>
      </c>
      <c r="E40">
        <v>0</v>
      </c>
      <c r="F40">
        <v>45</v>
      </c>
      <c r="G40">
        <v>1</v>
      </c>
      <c r="H40">
        <v>28</v>
      </c>
      <c r="I40">
        <v>100</v>
      </c>
      <c r="J40">
        <v>0</v>
      </c>
      <c r="K40">
        <v>5.0773271082579496</v>
      </c>
      <c r="L40">
        <f>MONTH(DATE(Table1[[#This Row],[YEAR]],1,Table1[[#This Row],[WEEK]]*7))</f>
        <v>7</v>
      </c>
      <c r="M40">
        <f>SUM((Table1[[#This Row],[A (H1)]:[H3N2v]]))</f>
        <v>174</v>
      </c>
    </row>
    <row r="41" spans="1:13" x14ac:dyDescent="0.25">
      <c r="A41">
        <v>2014</v>
      </c>
      <c r="B41">
        <v>27</v>
      </c>
      <c r="C41">
        <v>3127</v>
      </c>
      <c r="D41">
        <v>0</v>
      </c>
      <c r="E41">
        <v>0</v>
      </c>
      <c r="F41">
        <v>47</v>
      </c>
      <c r="G41">
        <v>2</v>
      </c>
      <c r="H41">
        <v>26</v>
      </c>
      <c r="I41">
        <v>83</v>
      </c>
      <c r="J41">
        <v>0</v>
      </c>
      <c r="K41">
        <v>5.0527662296130504</v>
      </c>
      <c r="L41">
        <f>MONTH(DATE(Table1[[#This Row],[YEAR]],1,Table1[[#This Row],[WEEK]]*7))</f>
        <v>7</v>
      </c>
      <c r="M41">
        <f>SUM((Table1[[#This Row],[A (H1)]:[H3N2v]]))</f>
        <v>158</v>
      </c>
    </row>
    <row r="42" spans="1:13" x14ac:dyDescent="0.25">
      <c r="A42">
        <v>2014</v>
      </c>
      <c r="B42">
        <v>28</v>
      </c>
      <c r="C42">
        <v>3044</v>
      </c>
      <c r="D42">
        <v>0</v>
      </c>
      <c r="E42">
        <v>0</v>
      </c>
      <c r="F42">
        <v>55</v>
      </c>
      <c r="G42">
        <v>3</v>
      </c>
      <c r="H42">
        <v>29</v>
      </c>
      <c r="I42">
        <v>65</v>
      </c>
      <c r="J42">
        <v>0</v>
      </c>
      <c r="K42">
        <v>4.9934296977660999</v>
      </c>
      <c r="L42">
        <f>MONTH(DATE(Table1[[#This Row],[YEAR]],1,Table1[[#This Row],[WEEK]]*7))</f>
        <v>7</v>
      </c>
      <c r="M42">
        <f>SUM((Table1[[#This Row],[A (H1)]:[H3N2v]]))</f>
        <v>152</v>
      </c>
    </row>
    <row r="43" spans="1:13" x14ac:dyDescent="0.25">
      <c r="A43">
        <v>2014</v>
      </c>
      <c r="B43">
        <v>29</v>
      </c>
      <c r="C43">
        <v>3162</v>
      </c>
      <c r="D43">
        <v>0</v>
      </c>
      <c r="E43">
        <v>0</v>
      </c>
      <c r="F43">
        <v>41</v>
      </c>
      <c r="G43">
        <v>0</v>
      </c>
      <c r="H43">
        <v>19</v>
      </c>
      <c r="I43">
        <v>60</v>
      </c>
      <c r="J43">
        <v>0</v>
      </c>
      <c r="K43">
        <v>3.7950664136622398</v>
      </c>
      <c r="L43">
        <f>MONTH(DATE(Table1[[#This Row],[YEAR]],1,Table1[[#This Row],[WEEK]]*7))</f>
        <v>7</v>
      </c>
      <c r="M43">
        <f>SUM((Table1[[#This Row],[A (H1)]:[H3N2v]]))</f>
        <v>120</v>
      </c>
    </row>
    <row r="44" spans="1:13" x14ac:dyDescent="0.25">
      <c r="A44">
        <v>2014</v>
      </c>
      <c r="B44">
        <v>30</v>
      </c>
      <c r="C44">
        <v>3105</v>
      </c>
      <c r="D44">
        <v>0</v>
      </c>
      <c r="E44">
        <v>0</v>
      </c>
      <c r="F44">
        <v>37</v>
      </c>
      <c r="G44">
        <v>2</v>
      </c>
      <c r="H44">
        <v>28</v>
      </c>
      <c r="I44">
        <v>50</v>
      </c>
      <c r="J44">
        <v>0</v>
      </c>
      <c r="K44">
        <v>3.7681159420289898</v>
      </c>
      <c r="L44">
        <f>MONTH(DATE(Table1[[#This Row],[YEAR]],1,Table1[[#This Row],[WEEK]]*7))</f>
        <v>7</v>
      </c>
      <c r="M44">
        <f>SUM((Table1[[#This Row],[A (H1)]:[H3N2v]]))</f>
        <v>117</v>
      </c>
    </row>
    <row r="45" spans="1:13" x14ac:dyDescent="0.25">
      <c r="A45">
        <v>2014</v>
      </c>
      <c r="B45">
        <v>31</v>
      </c>
      <c r="C45">
        <v>2918</v>
      </c>
      <c r="D45">
        <v>0</v>
      </c>
      <c r="E45">
        <v>0</v>
      </c>
      <c r="F45">
        <v>53</v>
      </c>
      <c r="G45">
        <v>2</v>
      </c>
      <c r="H45">
        <v>25</v>
      </c>
      <c r="I45">
        <v>27</v>
      </c>
      <c r="J45">
        <v>0</v>
      </c>
      <c r="K45">
        <v>3.6668951336531901</v>
      </c>
      <c r="L45">
        <f>MONTH(DATE(Table1[[#This Row],[YEAR]],1,Table1[[#This Row],[WEEK]]*7))</f>
        <v>8</v>
      </c>
      <c r="M45">
        <f>SUM((Table1[[#This Row],[A (H1)]:[H3N2v]]))</f>
        <v>107</v>
      </c>
    </row>
    <row r="46" spans="1:13" x14ac:dyDescent="0.25">
      <c r="A46">
        <v>2014</v>
      </c>
      <c r="B46">
        <v>32</v>
      </c>
      <c r="C46">
        <v>2940</v>
      </c>
      <c r="D46">
        <v>0</v>
      </c>
      <c r="E46">
        <v>0</v>
      </c>
      <c r="F46">
        <v>43</v>
      </c>
      <c r="G46">
        <v>5</v>
      </c>
      <c r="H46">
        <v>15</v>
      </c>
      <c r="I46">
        <v>23</v>
      </c>
      <c r="J46">
        <v>1</v>
      </c>
      <c r="K46">
        <v>2.9591836734693899</v>
      </c>
      <c r="L46">
        <f>MONTH(DATE(Table1[[#This Row],[YEAR]],1,Table1[[#This Row],[WEEK]]*7))</f>
        <v>8</v>
      </c>
      <c r="M46">
        <f>SUM((Table1[[#This Row],[A (H1)]:[H3N2v]]))</f>
        <v>87</v>
      </c>
    </row>
    <row r="47" spans="1:13" x14ac:dyDescent="0.25">
      <c r="A47">
        <v>2014</v>
      </c>
      <c r="B47">
        <v>33</v>
      </c>
      <c r="C47">
        <v>3247</v>
      </c>
      <c r="D47">
        <v>0</v>
      </c>
      <c r="E47">
        <v>0</v>
      </c>
      <c r="F47">
        <v>54</v>
      </c>
      <c r="G47">
        <v>1</v>
      </c>
      <c r="H47">
        <v>21</v>
      </c>
      <c r="I47">
        <v>36</v>
      </c>
      <c r="J47">
        <v>0</v>
      </c>
      <c r="K47">
        <v>3.44933785032338</v>
      </c>
      <c r="L47">
        <f>MONTH(DATE(Table1[[#This Row],[YEAR]],1,Table1[[#This Row],[WEEK]]*7))</f>
        <v>8</v>
      </c>
      <c r="M47">
        <f>SUM((Table1[[#This Row],[A (H1)]:[H3N2v]]))</f>
        <v>112</v>
      </c>
    </row>
    <row r="48" spans="1:13" x14ac:dyDescent="0.25">
      <c r="A48">
        <v>2014</v>
      </c>
      <c r="B48">
        <v>34</v>
      </c>
      <c r="C48">
        <v>3309</v>
      </c>
      <c r="D48">
        <v>0</v>
      </c>
      <c r="E48">
        <v>0</v>
      </c>
      <c r="F48">
        <v>44</v>
      </c>
      <c r="G48">
        <v>3</v>
      </c>
      <c r="H48">
        <v>19</v>
      </c>
      <c r="I48">
        <v>40</v>
      </c>
      <c r="J48">
        <v>1</v>
      </c>
      <c r="K48">
        <v>3.2336053188274398</v>
      </c>
      <c r="L48">
        <f>MONTH(DATE(Table1[[#This Row],[YEAR]],1,Table1[[#This Row],[WEEK]]*7))</f>
        <v>8</v>
      </c>
      <c r="M48">
        <f>SUM((Table1[[#This Row],[A (H1)]:[H3N2v]]))</f>
        <v>107</v>
      </c>
    </row>
    <row r="49" spans="1:13" x14ac:dyDescent="0.25">
      <c r="A49">
        <v>2014</v>
      </c>
      <c r="B49">
        <v>35</v>
      </c>
      <c r="C49">
        <v>3915</v>
      </c>
      <c r="D49">
        <v>0</v>
      </c>
      <c r="E49">
        <v>0</v>
      </c>
      <c r="F49">
        <v>59</v>
      </c>
      <c r="G49">
        <v>6</v>
      </c>
      <c r="H49">
        <v>28</v>
      </c>
      <c r="I49">
        <v>40</v>
      </c>
      <c r="J49">
        <v>0</v>
      </c>
      <c r="K49">
        <v>3.3971902937420202</v>
      </c>
      <c r="L49">
        <f>MONTH(DATE(Table1[[#This Row],[YEAR]],1,Table1[[#This Row],[WEEK]]*7))</f>
        <v>9</v>
      </c>
      <c r="M49">
        <f>SUM((Table1[[#This Row],[A (H1)]:[H3N2v]]))</f>
        <v>133</v>
      </c>
    </row>
    <row r="50" spans="1:13" x14ac:dyDescent="0.25">
      <c r="A50">
        <v>2014</v>
      </c>
      <c r="B50">
        <v>36</v>
      </c>
      <c r="C50">
        <v>4147</v>
      </c>
      <c r="D50">
        <v>0</v>
      </c>
      <c r="E50">
        <v>0</v>
      </c>
      <c r="F50">
        <v>42</v>
      </c>
      <c r="G50">
        <v>7</v>
      </c>
      <c r="H50">
        <v>33</v>
      </c>
      <c r="I50">
        <v>29</v>
      </c>
      <c r="J50">
        <v>0</v>
      </c>
      <c r="K50">
        <v>2.67663371111647</v>
      </c>
      <c r="L50">
        <f>MONTH(DATE(Table1[[#This Row],[YEAR]],1,Table1[[#This Row],[WEEK]]*7))</f>
        <v>9</v>
      </c>
      <c r="M50">
        <f>SUM((Table1[[#This Row],[A (H1)]:[H3N2v]]))</f>
        <v>111</v>
      </c>
    </row>
    <row r="51" spans="1:13" x14ac:dyDescent="0.25">
      <c r="A51">
        <v>2014</v>
      </c>
      <c r="B51">
        <v>37</v>
      </c>
      <c r="C51">
        <v>5042</v>
      </c>
      <c r="D51">
        <v>0</v>
      </c>
      <c r="E51">
        <v>0</v>
      </c>
      <c r="F51">
        <v>39</v>
      </c>
      <c r="G51">
        <v>0</v>
      </c>
      <c r="H51">
        <v>32</v>
      </c>
      <c r="I51">
        <v>23</v>
      </c>
      <c r="J51">
        <v>0</v>
      </c>
      <c r="K51">
        <v>1.8643395477984901</v>
      </c>
      <c r="L51">
        <f>MONTH(DATE(Table1[[#This Row],[YEAR]],1,Table1[[#This Row],[WEEK]]*7))</f>
        <v>9</v>
      </c>
      <c r="M51">
        <f>SUM((Table1[[#This Row],[A (H1)]:[H3N2v]]))</f>
        <v>94</v>
      </c>
    </row>
    <row r="52" spans="1:13" x14ac:dyDescent="0.25">
      <c r="A52">
        <v>2014</v>
      </c>
      <c r="B52">
        <v>38</v>
      </c>
      <c r="C52">
        <v>5038</v>
      </c>
      <c r="D52">
        <v>0</v>
      </c>
      <c r="E52">
        <v>0</v>
      </c>
      <c r="F52">
        <v>33</v>
      </c>
      <c r="G52">
        <v>0</v>
      </c>
      <c r="H52">
        <v>31</v>
      </c>
      <c r="I52">
        <v>45</v>
      </c>
      <c r="J52">
        <v>0</v>
      </c>
      <c r="K52">
        <v>2.16355696705042</v>
      </c>
      <c r="L52">
        <f>MONTH(DATE(Table1[[#This Row],[YEAR]],1,Table1[[#This Row],[WEEK]]*7))</f>
        <v>9</v>
      </c>
      <c r="M52">
        <f>SUM((Table1[[#This Row],[A (H1)]:[H3N2v]]))</f>
        <v>109</v>
      </c>
    </row>
    <row r="53" spans="1:13" x14ac:dyDescent="0.25">
      <c r="A53">
        <v>2014</v>
      </c>
      <c r="B53">
        <v>39</v>
      </c>
      <c r="C53">
        <v>3782</v>
      </c>
      <c r="D53">
        <v>0</v>
      </c>
      <c r="E53">
        <v>0</v>
      </c>
      <c r="F53">
        <v>11</v>
      </c>
      <c r="G53">
        <v>0</v>
      </c>
      <c r="H53">
        <v>47</v>
      </c>
      <c r="I53">
        <v>38</v>
      </c>
      <c r="J53">
        <v>0</v>
      </c>
      <c r="K53">
        <v>2.5383395029085101</v>
      </c>
      <c r="L53">
        <f>MONTH(DATE(Table1[[#This Row],[YEAR]],1,Table1[[#This Row],[WEEK]]*7))</f>
        <v>9</v>
      </c>
      <c r="M53">
        <f>SUM((Table1[[#This Row],[A (H1)]:[H3N2v]]))</f>
        <v>96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FluView_2013</vt:lpstr>
      <vt:lpstr>FluView_StackedColumnChart_Data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Raviotta, Jonathan</dc:creator>
  <cp:lastModifiedBy>Jonathan Raviotta</cp:lastModifiedBy>
  <dcterms:created xsi:type="dcterms:W3CDTF">2014-10-07T20:34:34Z</dcterms:created>
  <dcterms:modified xsi:type="dcterms:W3CDTF">2014-10-07T20:35:02Z</dcterms:modified>
</cp:coreProperties>
</file>