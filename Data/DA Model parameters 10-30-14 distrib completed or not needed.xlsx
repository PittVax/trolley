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-15" yWindow="5535" windowWidth="23820" windowHeight="5595"/>
  </bookViews>
  <sheets>
    <sheet name="Variables" sheetId="1" r:id="rId1"/>
  </sheets>
  <definedNames>
    <definedName name="sheetvariables" localSheetId="0">Variables!#REF!</definedName>
    <definedName name="table1start" localSheetId="0">Variables!$A$1</definedName>
  </definedNames>
  <calcPr calcId="145621"/>
</workbook>
</file>

<file path=xl/calcChain.xml><?xml version="1.0" encoding="utf-8"?>
<calcChain xmlns="http://schemas.openxmlformats.org/spreadsheetml/2006/main">
  <c r="L88" i="1" l="1"/>
  <c r="L5" i="1"/>
  <c r="L8" i="1"/>
  <c r="L9" i="1"/>
  <c r="L10" i="1"/>
  <c r="L37" i="1"/>
  <c r="L12" i="1"/>
  <c r="L36" i="1"/>
  <c r="L15" i="1"/>
  <c r="L16" i="1"/>
  <c r="L38" i="1"/>
  <c r="L87" i="1"/>
  <c r="L28" i="1"/>
  <c r="L29" i="1"/>
  <c r="L31" i="1"/>
  <c r="L33" i="1"/>
  <c r="L45" i="1"/>
  <c r="L46" i="1"/>
  <c r="L47" i="1"/>
  <c r="L49" i="1"/>
  <c r="L50" i="1"/>
  <c r="L51" i="1"/>
  <c r="L53" i="1"/>
  <c r="L57" i="1"/>
  <c r="L58" i="1"/>
  <c r="L59" i="1"/>
  <c r="L60" i="1"/>
  <c r="L61" i="1"/>
  <c r="L62" i="1"/>
  <c r="L63" i="1"/>
  <c r="L64" i="1"/>
  <c r="L65" i="1"/>
  <c r="L66" i="1"/>
  <c r="L67" i="1"/>
  <c r="L68" i="1"/>
  <c r="L83" i="1"/>
  <c r="L84" i="1"/>
  <c r="L26" i="1"/>
  <c r="L69" i="1"/>
  <c r="L70" i="1"/>
  <c r="M88" i="1"/>
  <c r="M5" i="1"/>
  <c r="M8" i="1"/>
  <c r="M9" i="1"/>
  <c r="M10" i="1"/>
  <c r="M37" i="1"/>
  <c r="M12" i="1"/>
  <c r="M36" i="1"/>
  <c r="M15" i="1"/>
  <c r="M16" i="1"/>
  <c r="M38" i="1"/>
  <c r="M87" i="1"/>
  <c r="M28" i="1"/>
  <c r="M29" i="1"/>
  <c r="M31" i="1"/>
  <c r="M33" i="1"/>
  <c r="M45" i="1"/>
  <c r="M46" i="1"/>
  <c r="M47" i="1"/>
  <c r="M49" i="1"/>
  <c r="M50" i="1"/>
  <c r="M51" i="1"/>
  <c r="M53" i="1"/>
  <c r="M57" i="1"/>
  <c r="M58" i="1"/>
  <c r="M59" i="1"/>
  <c r="M60" i="1"/>
  <c r="M61" i="1"/>
  <c r="M62" i="1"/>
  <c r="M63" i="1"/>
  <c r="M64" i="1"/>
  <c r="M65" i="1"/>
  <c r="M66" i="1"/>
  <c r="M67" i="1"/>
  <c r="M68" i="1"/>
  <c r="M83" i="1"/>
  <c r="M84" i="1"/>
  <c r="M26" i="1"/>
  <c r="M69" i="1"/>
  <c r="M70" i="1"/>
  <c r="S87" i="1" l="1"/>
  <c r="S38" i="1"/>
  <c r="S36" i="1"/>
  <c r="S37" i="1"/>
  <c r="R87" i="1"/>
  <c r="R38" i="1"/>
  <c r="R36" i="1"/>
  <c r="R37" i="1"/>
  <c r="R88" i="1"/>
  <c r="S88" i="1"/>
  <c r="D40" i="1"/>
  <c r="K40" i="1" s="1"/>
  <c r="D39" i="1"/>
  <c r="K39" i="1" s="1"/>
  <c r="K88" i="1"/>
  <c r="J88" i="1"/>
  <c r="K27" i="1"/>
  <c r="J27" i="1"/>
  <c r="K2" i="1"/>
  <c r="J2" i="1"/>
  <c r="K37" i="1"/>
  <c r="J37" i="1"/>
  <c r="J39" i="1"/>
  <c r="K36" i="1"/>
  <c r="J36" i="1"/>
  <c r="K7" i="1"/>
  <c r="J7" i="1"/>
  <c r="K3" i="1"/>
  <c r="J3" i="1"/>
  <c r="K87" i="1"/>
  <c r="J87" i="1"/>
  <c r="K85" i="1"/>
  <c r="J85" i="1"/>
  <c r="K38" i="1"/>
  <c r="J38" i="1"/>
  <c r="K4" i="1"/>
  <c r="J4" i="1"/>
  <c r="P88" i="1"/>
  <c r="P27" i="1"/>
  <c r="P2" i="1"/>
  <c r="P37" i="1"/>
  <c r="P39" i="1"/>
  <c r="P36" i="1"/>
  <c r="P40" i="1"/>
  <c r="P87" i="1"/>
  <c r="P85" i="1"/>
  <c r="P38" i="1"/>
  <c r="P4" i="1"/>
  <c r="O88" i="1"/>
  <c r="O27" i="1"/>
  <c r="O2" i="1"/>
  <c r="O37" i="1"/>
  <c r="O39" i="1"/>
  <c r="O36" i="1"/>
  <c r="O40" i="1"/>
  <c r="O87" i="1"/>
  <c r="O85" i="1"/>
  <c r="O38" i="1"/>
  <c r="O4" i="1"/>
  <c r="K30" i="1"/>
  <c r="K25" i="1"/>
  <c r="K24" i="1"/>
  <c r="K23" i="1"/>
  <c r="K22" i="1"/>
  <c r="K21" i="1"/>
  <c r="K20" i="1"/>
  <c r="K90" i="1"/>
  <c r="K89" i="1"/>
  <c r="K86" i="1"/>
  <c r="K82" i="1"/>
  <c r="K81" i="1"/>
  <c r="K80" i="1"/>
  <c r="K79" i="1"/>
  <c r="K78" i="1"/>
  <c r="K77" i="1"/>
  <c r="K76" i="1"/>
  <c r="K75" i="1"/>
  <c r="K74" i="1"/>
  <c r="K73" i="1"/>
  <c r="K72" i="1"/>
  <c r="K71" i="1"/>
  <c r="K56" i="1"/>
  <c r="K35" i="1"/>
  <c r="K41" i="1"/>
  <c r="K42" i="1"/>
  <c r="K43" i="1"/>
  <c r="K44" i="1"/>
  <c r="K48" i="1"/>
  <c r="K52" i="1"/>
  <c r="K54" i="1"/>
  <c r="K55" i="1"/>
  <c r="K34" i="1"/>
  <c r="J30" i="1"/>
  <c r="J25" i="1"/>
  <c r="J24" i="1"/>
  <c r="J23" i="1"/>
  <c r="J22" i="1"/>
  <c r="J21" i="1"/>
  <c r="J20" i="1"/>
  <c r="J90" i="1"/>
  <c r="J89" i="1"/>
  <c r="J86" i="1"/>
  <c r="J82" i="1"/>
  <c r="J81" i="1"/>
  <c r="J80" i="1"/>
  <c r="J79" i="1"/>
  <c r="J78" i="1"/>
  <c r="J77" i="1"/>
  <c r="J76" i="1"/>
  <c r="J75" i="1"/>
  <c r="J74" i="1"/>
  <c r="J73" i="1"/>
  <c r="J72" i="1"/>
  <c r="J71" i="1"/>
  <c r="S71" i="1" s="1"/>
  <c r="J56" i="1"/>
  <c r="J55" i="1"/>
  <c r="J54" i="1"/>
  <c r="J52" i="1"/>
  <c r="S52" i="1" s="1"/>
  <c r="J48" i="1"/>
  <c r="J44" i="1"/>
  <c r="J43" i="1"/>
  <c r="J42" i="1"/>
  <c r="S42" i="1" s="1"/>
  <c r="J41" i="1"/>
  <c r="J34" i="1"/>
  <c r="S34" i="1" s="1"/>
  <c r="J35" i="1"/>
  <c r="J5" i="1"/>
  <c r="J8" i="1"/>
  <c r="J9" i="1"/>
  <c r="J10" i="1"/>
  <c r="J12" i="1"/>
  <c r="J15" i="1"/>
  <c r="J16" i="1"/>
  <c r="J26" i="1"/>
  <c r="J28" i="1"/>
  <c r="J29" i="1"/>
  <c r="J31" i="1"/>
  <c r="J33" i="1"/>
  <c r="J45" i="1"/>
  <c r="J46" i="1"/>
  <c r="J47" i="1"/>
  <c r="J49" i="1"/>
  <c r="J50" i="1"/>
  <c r="J51" i="1"/>
  <c r="J53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6" i="1"/>
  <c r="J11" i="1"/>
  <c r="J13" i="1"/>
  <c r="J17" i="1"/>
  <c r="J14" i="1"/>
  <c r="J18" i="1"/>
  <c r="J19" i="1"/>
  <c r="J83" i="1"/>
  <c r="J84" i="1"/>
  <c r="O71" i="1"/>
  <c r="O56" i="1"/>
  <c r="O55" i="1"/>
  <c r="O54" i="1"/>
  <c r="O52" i="1"/>
  <c r="O48" i="1"/>
  <c r="O44" i="1"/>
  <c r="O43" i="1"/>
  <c r="O42" i="1"/>
  <c r="O41" i="1"/>
  <c r="O35" i="1"/>
  <c r="O34" i="1"/>
  <c r="O77" i="1"/>
  <c r="O76" i="1"/>
  <c r="O75" i="1"/>
  <c r="O74" i="1"/>
  <c r="O73" i="1"/>
  <c r="O72" i="1"/>
  <c r="O78" i="1"/>
  <c r="O79" i="1"/>
  <c r="O81" i="1"/>
  <c r="O80" i="1"/>
  <c r="O90" i="1"/>
  <c r="O89" i="1"/>
  <c r="O86" i="1"/>
  <c r="O82" i="1"/>
  <c r="P71" i="1"/>
  <c r="P56" i="1"/>
  <c r="P55" i="1"/>
  <c r="P54" i="1"/>
  <c r="P52" i="1"/>
  <c r="P48" i="1"/>
  <c r="P44" i="1"/>
  <c r="P43" i="1"/>
  <c r="P42" i="1"/>
  <c r="P41" i="1"/>
  <c r="P35" i="1"/>
  <c r="P34" i="1"/>
  <c r="P77" i="1"/>
  <c r="P76" i="1"/>
  <c r="P75" i="1"/>
  <c r="P74" i="1"/>
  <c r="P73" i="1"/>
  <c r="P72" i="1"/>
  <c r="P78" i="1"/>
  <c r="P79" i="1"/>
  <c r="P81" i="1"/>
  <c r="P80" i="1"/>
  <c r="P90" i="1"/>
  <c r="P89" i="1"/>
  <c r="P86" i="1"/>
  <c r="P82" i="1"/>
  <c r="D32" i="1"/>
  <c r="K32" i="1" s="1"/>
  <c r="P32" i="1"/>
  <c r="O32" i="1"/>
  <c r="P30" i="1"/>
  <c r="O30" i="1"/>
  <c r="P25" i="1"/>
  <c r="O25" i="1"/>
  <c r="P24" i="1"/>
  <c r="O24" i="1"/>
  <c r="P23" i="1"/>
  <c r="O23" i="1"/>
  <c r="P22" i="1"/>
  <c r="O22" i="1"/>
  <c r="P21" i="1"/>
  <c r="O21" i="1"/>
  <c r="P20" i="1"/>
  <c r="O20" i="1"/>
  <c r="S75" i="1" l="1"/>
  <c r="S79" i="1"/>
  <c r="S86" i="1"/>
  <c r="R41" i="1"/>
  <c r="R48" i="1"/>
  <c r="S2" i="1"/>
  <c r="S72" i="1"/>
  <c r="S76" i="1"/>
  <c r="S80" i="1"/>
  <c r="S89" i="1"/>
  <c r="J40" i="1"/>
  <c r="S40" i="1" s="1"/>
  <c r="S25" i="1"/>
  <c r="R22" i="1"/>
  <c r="S21" i="1"/>
  <c r="S35" i="1"/>
  <c r="S43" i="1"/>
  <c r="S44" i="1"/>
  <c r="S55" i="1"/>
  <c r="S73" i="1"/>
  <c r="S77" i="1"/>
  <c r="S81" i="1"/>
  <c r="S90" i="1"/>
  <c r="S23" i="1"/>
  <c r="S54" i="1"/>
  <c r="R56" i="1"/>
  <c r="R74" i="1"/>
  <c r="R78" i="1"/>
  <c r="R82" i="1"/>
  <c r="S20" i="1"/>
  <c r="S24" i="1"/>
  <c r="R30" i="1"/>
  <c r="R4" i="1"/>
  <c r="S85" i="1"/>
  <c r="S7" i="1"/>
  <c r="S39" i="1"/>
  <c r="R27" i="1"/>
  <c r="S3" i="1"/>
  <c r="R3" i="1"/>
  <c r="R23" i="1"/>
  <c r="R42" i="1"/>
  <c r="L42" i="1" s="1"/>
  <c r="R52" i="1"/>
  <c r="L52" i="1" s="1"/>
  <c r="R71" i="1"/>
  <c r="L71" i="1" s="1"/>
  <c r="R75" i="1"/>
  <c r="L75" i="1" s="1"/>
  <c r="R79" i="1"/>
  <c r="L79" i="1" s="1"/>
  <c r="R86" i="1"/>
  <c r="L86" i="1" s="1"/>
  <c r="S27" i="1"/>
  <c r="S4" i="1"/>
  <c r="S22" i="1"/>
  <c r="S30" i="1"/>
  <c r="S41" i="1"/>
  <c r="S48" i="1"/>
  <c r="S56" i="1"/>
  <c r="S74" i="1"/>
  <c r="S78" i="1"/>
  <c r="S82" i="1"/>
  <c r="R85" i="1"/>
  <c r="R7" i="1"/>
  <c r="R20" i="1"/>
  <c r="R24" i="1"/>
  <c r="R34" i="1"/>
  <c r="L34" i="1" s="1"/>
  <c r="R43" i="1"/>
  <c r="L43" i="1" s="1"/>
  <c r="R54" i="1"/>
  <c r="L54" i="1" s="1"/>
  <c r="R72" i="1"/>
  <c r="L72" i="1" s="1"/>
  <c r="R76" i="1"/>
  <c r="L76" i="1" s="1"/>
  <c r="R80" i="1"/>
  <c r="L80" i="1" s="1"/>
  <c r="R89" i="1"/>
  <c r="L89" i="1" s="1"/>
  <c r="R2" i="1"/>
  <c r="L2" i="1" s="1"/>
  <c r="R39" i="1"/>
  <c r="L39" i="1" s="1"/>
  <c r="R21" i="1"/>
  <c r="R25" i="1"/>
  <c r="R35" i="1"/>
  <c r="R44" i="1"/>
  <c r="L44" i="1" s="1"/>
  <c r="R55" i="1"/>
  <c r="L55" i="1" s="1"/>
  <c r="R73" i="1"/>
  <c r="L73" i="1" s="1"/>
  <c r="R77" i="1"/>
  <c r="L77" i="1" s="1"/>
  <c r="R81" i="1"/>
  <c r="L81" i="1" s="1"/>
  <c r="R90" i="1"/>
  <c r="L90" i="1" s="1"/>
  <c r="J32" i="1"/>
  <c r="P19" i="1"/>
  <c r="O19" i="1"/>
  <c r="P18" i="1"/>
  <c r="O18" i="1"/>
  <c r="P14" i="1"/>
  <c r="O14" i="1"/>
  <c r="P17" i="1"/>
  <c r="O17" i="1"/>
  <c r="P13" i="1"/>
  <c r="O13" i="1"/>
  <c r="P11" i="1"/>
  <c r="O11" i="1"/>
  <c r="P7" i="1"/>
  <c r="O7" i="1"/>
  <c r="P6" i="1"/>
  <c r="O6" i="1"/>
  <c r="P3" i="1"/>
  <c r="O3" i="1"/>
  <c r="K19" i="1"/>
  <c r="R19" i="1" s="1"/>
  <c r="K18" i="1"/>
  <c r="R18" i="1" s="1"/>
  <c r="K14" i="1"/>
  <c r="S14" i="1" s="1"/>
  <c r="K6" i="1"/>
  <c r="S6" i="1" s="1"/>
  <c r="K11" i="1"/>
  <c r="R11" i="1" s="1"/>
  <c r="K13" i="1"/>
  <c r="R13" i="1" s="1"/>
  <c r="K17" i="1"/>
  <c r="S17" i="1" s="1"/>
  <c r="L85" i="1" l="1"/>
  <c r="L27" i="1"/>
  <c r="L4" i="1"/>
  <c r="L82" i="1"/>
  <c r="L35" i="1"/>
  <c r="L25" i="1"/>
  <c r="L24" i="1"/>
  <c r="L23" i="1"/>
  <c r="L21" i="1"/>
  <c r="L20" i="1"/>
  <c r="L7" i="1"/>
  <c r="L30" i="1"/>
  <c r="L78" i="1"/>
  <c r="L3" i="1"/>
  <c r="L74" i="1"/>
  <c r="L56" i="1"/>
  <c r="L22" i="1"/>
  <c r="L48" i="1"/>
  <c r="L41" i="1"/>
  <c r="M34" i="1"/>
  <c r="M21" i="1"/>
  <c r="M81" i="1"/>
  <c r="M39" i="1"/>
  <c r="M76" i="1"/>
  <c r="M77" i="1"/>
  <c r="M35" i="1"/>
  <c r="M2" i="1"/>
  <c r="M72" i="1"/>
  <c r="M24" i="1"/>
  <c r="M75" i="1"/>
  <c r="M23" i="1"/>
  <c r="M30" i="1"/>
  <c r="M78" i="1"/>
  <c r="M90" i="1"/>
  <c r="M73" i="1"/>
  <c r="M25" i="1"/>
  <c r="M89" i="1"/>
  <c r="M54" i="1"/>
  <c r="M20" i="1"/>
  <c r="M71" i="1"/>
  <c r="M3" i="1"/>
  <c r="M74" i="1"/>
  <c r="M80" i="1"/>
  <c r="M7" i="1"/>
  <c r="M86" i="1"/>
  <c r="M52" i="1"/>
  <c r="M56" i="1"/>
  <c r="M22" i="1"/>
  <c r="M48" i="1"/>
  <c r="M55" i="1"/>
  <c r="M43" i="1"/>
  <c r="M44" i="1"/>
  <c r="M85" i="1"/>
  <c r="M79" i="1"/>
  <c r="M42" i="1"/>
  <c r="M27" i="1"/>
  <c r="M4" i="1"/>
  <c r="M82" i="1"/>
  <c r="M41" i="1"/>
  <c r="R40" i="1"/>
  <c r="L40" i="1" s="1"/>
  <c r="S18" i="1"/>
  <c r="M18" i="1" s="1"/>
  <c r="S13" i="1"/>
  <c r="M13" i="1" s="1"/>
  <c r="R17" i="1"/>
  <c r="L17" i="1" s="1"/>
  <c r="S11" i="1"/>
  <c r="M11" i="1" s="1"/>
  <c r="S32" i="1"/>
  <c r="R32" i="1"/>
  <c r="L32" i="1" s="1"/>
  <c r="S19" i="1"/>
  <c r="L19" i="1" s="1"/>
  <c r="R14" i="1"/>
  <c r="L14" i="1" s="1"/>
  <c r="R6" i="1"/>
  <c r="L6" i="1" s="1"/>
  <c r="L13" i="1" l="1"/>
  <c r="L18" i="1"/>
  <c r="L11" i="1"/>
  <c r="M40" i="1"/>
  <c r="M17" i="1"/>
  <c r="M32" i="1"/>
  <c r="M6" i="1"/>
  <c r="M19" i="1"/>
  <c r="M14" i="1"/>
</calcChain>
</file>

<file path=xl/sharedStrings.xml><?xml version="1.0" encoding="utf-8"?>
<sst xmlns="http://schemas.openxmlformats.org/spreadsheetml/2006/main" count="430" uniqueCount="290">
  <si>
    <r>
      <rPr>
        <b/>
        <u/>
        <sz val="10"/>
        <rFont val="Arial"/>
        <family val="2"/>
      </rPr>
      <t>Name</t>
    </r>
  </si>
  <si>
    <r>
      <rPr>
        <b/>
        <u/>
        <sz val="10"/>
        <rFont val="Arial"/>
        <family val="2"/>
      </rPr>
      <t>Description</t>
    </r>
  </si>
  <si>
    <r>
      <rPr>
        <b/>
        <u/>
        <sz val="10"/>
        <rFont val="Arial"/>
        <family val="2"/>
      </rPr>
      <t>Root Definition</t>
    </r>
  </si>
  <si>
    <r>
      <rPr>
        <b/>
        <u/>
        <sz val="10"/>
        <rFont val="Arial"/>
        <family val="2"/>
      </rPr>
      <t>Low</t>
    </r>
  </si>
  <si>
    <r>
      <rPr>
        <b/>
        <u/>
        <sz val="10"/>
        <rFont val="Arial"/>
        <family val="2"/>
      </rPr>
      <t>High</t>
    </r>
  </si>
  <si>
    <t>pLAIV_contraindication</t>
  </si>
  <si>
    <t>Probability patient has LAIV contraindication (Zimmerman et al 2010)</t>
  </si>
  <si>
    <t>comment</t>
  </si>
  <si>
    <t>0.1168</t>
  </si>
  <si>
    <t>pFlu</t>
  </si>
  <si>
    <t>Probability of contracting flu given no vaccination</t>
  </si>
  <si>
    <t>SA based on R0 of 1.2 to 2.0 (base 1.6)</t>
  </si>
  <si>
    <t>0.28</t>
  </si>
  <si>
    <t/>
  </si>
  <si>
    <t>cFluTotal</t>
  </si>
  <si>
    <t>Total of all flu costs</t>
  </si>
  <si>
    <t>(pGetFlu_Rx * cFluRx) + (pVisitMD_Flu * cFlu_MD * numVisits_Flu) + (cNonMed_Daily * daysFlu)</t>
  </si>
  <si>
    <t>dr</t>
  </si>
  <si>
    <t>Discount rate</t>
  </si>
  <si>
    <t>0.03</t>
  </si>
  <si>
    <t>duFlu</t>
  </si>
  <si>
    <t>Disutility of flu (Luce)</t>
  </si>
  <si>
    <t>(1-uFlu) * (daysFlu/365)</t>
  </si>
  <si>
    <t>cLRI_Total</t>
  </si>
  <si>
    <t>Cost total of lower respiratory infection (assumed same as AOM)</t>
  </si>
  <si>
    <t>cLRI_meds + (pGetFlu_Rx * cFluRx) + (pVisitMD_LRI * cFlu_MD * numVisits_LRI) + (cNonMed_Daily * daysLRI)</t>
  </si>
  <si>
    <t>cAOM_Total</t>
  </si>
  <si>
    <t>Cost total of Acute Otitis Media</t>
  </si>
  <si>
    <t>cAOM_meds + (pGetFlu_Rx * cFluRx) + (pVisitMD_AOM * cFlu_MD * numVisits_AOM) + (cNonMed_Daily * daysAOM)</t>
  </si>
  <si>
    <t>duLRI</t>
  </si>
  <si>
    <t>Disutility of lower respiratory infection (Luce)</t>
  </si>
  <si>
    <t>(1-uFlu) * (daysLRI/365)</t>
  </si>
  <si>
    <t>duAOM</t>
  </si>
  <si>
    <t>Disutility of acute otitis media (Luce)</t>
  </si>
  <si>
    <t>(1-uFlu) * (daysAOM/365)</t>
  </si>
  <si>
    <t>pFlu_AOM</t>
  </si>
  <si>
    <t>Probability of acute otitis media given vax- and flu+</t>
  </si>
  <si>
    <t>pFlu * Percent_AOM</t>
  </si>
  <si>
    <t>pFlu_LRI</t>
  </si>
  <si>
    <t>Probability of lower respiratory infection given vax- and flu+</t>
  </si>
  <si>
    <t>pFlu * Percent_LRI</t>
  </si>
  <si>
    <t>cLAIV</t>
  </si>
  <si>
    <t>Cost of LAIV dose  (FluMist - 2014 CDC Ped Influenza Price List, private sector cost)</t>
  </si>
  <si>
    <t>SA 50%-150% of base</t>
  </si>
  <si>
    <t>22.70</t>
  </si>
  <si>
    <t>cTIV</t>
  </si>
  <si>
    <t>Cost of TIV dose (Fluzone - 2014 CDC Ped Influenza Price List, private sector cost)</t>
  </si>
  <si>
    <t>10.69</t>
  </si>
  <si>
    <t>pAE_Wheeze_LAIV</t>
  </si>
  <si>
    <t>Probability of wheeze adverse event from LAIV (Luce)</t>
  </si>
  <si>
    <t>0.0215</t>
  </si>
  <si>
    <t>pAE_Wheeze_TIV</t>
  </si>
  <si>
    <t>Probability of wheeze adverse event from TIV (Luce)</t>
  </si>
  <si>
    <t>0.0255</t>
  </si>
  <si>
    <t>pDie_Flu</t>
  </si>
  <si>
    <t>Probability of death from flu (Luce)</t>
  </si>
  <si>
    <t>0.0000066</t>
  </si>
  <si>
    <t>pDie_Flu_LRI</t>
  </si>
  <si>
    <t>Probability of death from lower respiratory infection and flu given vax-</t>
  </si>
  <si>
    <t xml:space="preserve">Centers for Disease, C., Prevention, &amp; Thompson MG  Zhou H, Bridges CB, Cheng PY, Burns E, S. D. K. (2010). Estimates of deaths associated with seasonal influenza --- United States, 1976-2007. MMWR Morb Mortal Wkly Rep, 59(33), 1057–1062. doi:mm5933a1 [pii]_x000D_ ***SA 50-150% of base
_x000D_
Luce, B. R., Nichol, K. L., Belshe, R. B., Frick, K. D., Li, S. X., Boscoe, A., … Mahadevia, P. J. (2008). Cost-effectiveness of live attenuated influenza vaccine versus inactivated influenza vaccine among children aged 24-59 months in the United States. Vaccine, 26(23), 2841–8. doi:10.1016/j.vaccine.2008.03.046_x000D_
</t>
  </si>
  <si>
    <t>0.0001676</t>
  </si>
  <si>
    <t>pDie_Flu_LRI_LAIV</t>
  </si>
  <si>
    <t>Probability of death from lower respiratory infection given LAIV+ and flu+(Assumed from Luce)</t>
  </si>
  <si>
    <t>pDie_Flu_LRI_TIV</t>
  </si>
  <si>
    <t>Probability of death from lower respiratory infection given TIV+ and flu+(Assumed from Luce)</t>
  </si>
  <si>
    <t>pFlu_AOM_LAIV</t>
  </si>
  <si>
    <t>Probability of acute otitis media given LAIV+ and flu+</t>
  </si>
  <si>
    <t>pFlu_LAIV * Percent_AOM_LAIV</t>
  </si>
  <si>
    <t>pFlu_AOM_TIV</t>
  </si>
  <si>
    <t>Probability of acute otitis media given TIV+ and flu+</t>
  </si>
  <si>
    <t>pFlu_TIV * Percent_AOM_TIV</t>
  </si>
  <si>
    <t>pFlu_LAIV</t>
  </si>
  <si>
    <t>Probability of flu+ given LAIV+ (Luce)</t>
  </si>
  <si>
    <t>pFlu * (1 - eff_LAIV)</t>
  </si>
  <si>
    <t>pFlu_TIV</t>
  </si>
  <si>
    <t>Probability of flu given TIV+</t>
  </si>
  <si>
    <t>pFlu * (1-eff_TIV)</t>
  </si>
  <si>
    <t>pHosp_Flu</t>
  </si>
  <si>
    <t>Probability of hospitalization given vax- and flu+ and no complications (assumed same as Luce/TIV)</t>
  </si>
  <si>
    <t>0.0004</t>
  </si>
  <si>
    <t>pHosp_LRI</t>
  </si>
  <si>
    <t>Probability of hospitalization given vax- and flu+ and lower respiratory infection (Lavelle 2009 J Peds)</t>
  </si>
  <si>
    <t>0.00064</t>
  </si>
  <si>
    <t>pHosp_AOM</t>
  </si>
  <si>
    <t>Probability of hospitalization given vax- and flu+ and acute otitis media (assumed same as Luce/TIV)</t>
  </si>
  <si>
    <t>pDie_Flu_AOM</t>
  </si>
  <si>
    <t>Probability of death from acute otitis media and flu given vax- (Luce)</t>
  </si>
  <si>
    <t>pFlu_Monthly</t>
  </si>
  <si>
    <t>Probability of flu per Markov cycle given vax-</t>
  </si>
  <si>
    <t>( pFlu*(Flu_attack_monthly[_stage] - Flu_attack_monthly[_stage-1])) / (1 - pFlu *  Flu_attack_monthly[_stage-1] )</t>
  </si>
  <si>
    <t>pFluTotal</t>
  </si>
  <si>
    <t>Probability sum of all flu partial probabilities given vax-</t>
  </si>
  <si>
    <t>pFlu + pFlu_AOM + pFlu_LRI</t>
  </si>
  <si>
    <t>pFlu_Monthly_postVax</t>
  </si>
  <si>
    <t>Probability of flu per Markov cycle given vax+</t>
  </si>
  <si>
    <t>( pFlu_postVax * (Flu_attack_monthly[_stage] - Flu_attack_monthly[_stage-1])) / (1 - pFlu_postVax *  Flu_attack_monthly[_stage-1] )</t>
  </si>
  <si>
    <t>pFluTotal_postVax</t>
  </si>
  <si>
    <t>Probability sum of all flu partial probabilities given vax+</t>
  </si>
  <si>
    <t>pFlu_AOM_postVax + pFlu_LRI_postVax + pFlu_postVax</t>
  </si>
  <si>
    <t>duDeath</t>
  </si>
  <si>
    <t>Disutility of death</t>
  </si>
  <si>
    <t>+/- 5 years - Assumed</t>
  </si>
  <si>
    <t>30.5</t>
  </si>
  <si>
    <t>duHosp</t>
  </si>
  <si>
    <t>Disutility of hospitalization (HCUP - mean LOS 2.8)</t>
  </si>
  <si>
    <t>Assumed (1/365 to 10/365)</t>
  </si>
  <si>
    <t>cFlu_MD</t>
  </si>
  <si>
    <t>Cost of MD office visit (99213 - 2014)</t>
  </si>
  <si>
    <t>SA - min &amp; max regional value</t>
  </si>
  <si>
    <t>73.08</t>
  </si>
  <si>
    <t>cNonMed_Daily</t>
  </si>
  <si>
    <t>Cost of direct nonmedical (daily wages from Bureau of Labor Statistics)</t>
  </si>
  <si>
    <t>BLS July 2012 - see Parameters spreadsheet tab</t>
  </si>
  <si>
    <t>162</t>
  </si>
  <si>
    <t>cFluRx</t>
  </si>
  <si>
    <t>Cost of flu medication  (avg wholesale price - 2010)</t>
  </si>
  <si>
    <t>103</t>
  </si>
  <si>
    <t>duAE_Other</t>
  </si>
  <si>
    <t>Disutility of vaccination no wheeze adverse event (Luce - no disutility)</t>
  </si>
  <si>
    <t>Upper range = loss of 1 day</t>
  </si>
  <si>
    <t>0</t>
  </si>
  <si>
    <t>cAdvEvent_Other</t>
  </si>
  <si>
    <t>Cost of non-hospitalized other adverse events - not wheezing (Luce)</t>
  </si>
  <si>
    <t>SA 50%-200% of base</t>
  </si>
  <si>
    <t>1.81</t>
  </si>
  <si>
    <t>pFlu_LRI_LAIV</t>
  </si>
  <si>
    <t>Probability of lower respiratory infection and flu given LAIV+ (Luce)</t>
  </si>
  <si>
    <t>pFlu_LAIV * Percent_LRI</t>
  </si>
  <si>
    <t>pFlu_LRI_TIV</t>
  </si>
  <si>
    <t>Probability of lower respiratory infection and flu given TIV+  (Luce)</t>
  </si>
  <si>
    <t>pFlu_TIV * Percent_LRI</t>
  </si>
  <si>
    <t>pDie_Flu_LAIV</t>
  </si>
  <si>
    <t>Probability of death from flu given LAIV+(Assumed from Luce)</t>
  </si>
  <si>
    <t>pDie_Flu_TIV</t>
  </si>
  <si>
    <t>Probability of death from flu given TIV+ (Assumed from Luce)</t>
  </si>
  <si>
    <t>pHosp_Flu_LAIV</t>
  </si>
  <si>
    <t>Probability of hospitalization for flu given LAIV+ (Luce)</t>
  </si>
  <si>
    <t>0.0002</t>
  </si>
  <si>
    <t>pHosp_Flu_TIV</t>
  </si>
  <si>
    <t>Probability of hospitalization for flu given TIV+ (Luce)</t>
  </si>
  <si>
    <t>pHosp_LRI_LAIV</t>
  </si>
  <si>
    <t>Probability of hospitalization for flu+ and lower respiratory infection given LAIV+ (Luce)</t>
  </si>
  <si>
    <t>Upper range = base probability for flu hosp given LAIV</t>
  </si>
  <si>
    <t>pHosp_LRI_TIV</t>
  </si>
  <si>
    <t>Probability of hospitalization for flu+ and lower respiratory infection given TIV+(Luce)</t>
  </si>
  <si>
    <t>0.0001</t>
  </si>
  <si>
    <t>pDie_Flu_AOM_LAIV</t>
  </si>
  <si>
    <t>Probability of death from acute otitis media and flu given LAIV+ (Assumed from Luce)</t>
  </si>
  <si>
    <t>pDie_Flu_AOM_TIV</t>
  </si>
  <si>
    <t>Probability of death from acute otitis media and flu given TIV+ (Assumed from Luce)</t>
  </si>
  <si>
    <t>pHosp_AOM_LAIV</t>
  </si>
  <si>
    <t>Probability of hospitalization for AOM given LAIV+ (Luce)</t>
  </si>
  <si>
    <t>pHosp_AOM_TIV</t>
  </si>
  <si>
    <t>Probability of hospitalization for AOM given TIV+ (Luce)</t>
  </si>
  <si>
    <t>pVaccinated_Monthly_LAIV</t>
  </si>
  <si>
    <t>Probability of LAIV vaccination monthly</t>
  </si>
  <si>
    <t>( pGetVax * (VAX_MONTHLY[_stage] - VAX_MONTHLY[_stage-1])) / (1 - pGetVax *  VAX_MONTHLY[_stage-1] )</t>
  </si>
  <si>
    <t>pVaccinated_Monthly_TIV</t>
  </si>
  <si>
    <t>Probability of vaccination with TIV by month - f(pVaccinated_Montly_LAIV)</t>
  </si>
  <si>
    <t>cAdvEvent_Wheeze</t>
  </si>
  <si>
    <t>Cost of non-hospitalized adverse event  - wheezing (Luce)</t>
  </si>
  <si>
    <t>62.92</t>
  </si>
  <si>
    <t>duAE_Wheeze</t>
  </si>
  <si>
    <t>Disutility of adverse event wheezing (Luce)</t>
  </si>
  <si>
    <t>(1-uWheeze) * (daysWheeze/365)</t>
  </si>
  <si>
    <t>pHosp_Wheeze_LAIV</t>
  </si>
  <si>
    <t>Probability of hospitalization for flu+ and lower respiratory infection given LAIV+(Luce)</t>
  </si>
  <si>
    <t>0.0009</t>
  </si>
  <si>
    <t>pHosp_Wheeze_TIV</t>
  </si>
  <si>
    <t>Probability of hospitalization for flu+ and wheezing given TIV+(Luce)</t>
  </si>
  <si>
    <t>0.0018</t>
  </si>
  <si>
    <t>pAE_noWheeze_LAIV</t>
  </si>
  <si>
    <t>Probability of other adverse events from LAIV (Luce)</t>
  </si>
  <si>
    <t>Assumed</t>
  </si>
  <si>
    <t>pAE_noWheeze_TIV</t>
  </si>
  <si>
    <t>Probability of other adverse events from TIV (Luce)</t>
  </si>
  <si>
    <t>uWheeze</t>
  </si>
  <si>
    <t>Utility of AE - wheezing (Luce)</t>
  </si>
  <si>
    <t>0.851</t>
  </si>
  <si>
    <t>daysWheeze</t>
  </si>
  <si>
    <t>Number of days wheezing+ (Luce)</t>
  </si>
  <si>
    <t>12.78</t>
  </si>
  <si>
    <t>daysFlu</t>
  </si>
  <si>
    <t>Number of days Flu+ (Luce)</t>
  </si>
  <si>
    <t>3</t>
  </si>
  <si>
    <t>uFlu</t>
  </si>
  <si>
    <t>Utility of flu+ (Luce)</t>
  </si>
  <si>
    <t>0.558</t>
  </si>
  <si>
    <t>daysAOM</t>
  </si>
  <si>
    <t>Number of days AOM+ (Luce)</t>
  </si>
  <si>
    <t>3.52</t>
  </si>
  <si>
    <t>daysLRI</t>
  </si>
  <si>
    <t>Number of days LRI+ (Luce)</t>
  </si>
  <si>
    <t>3.33</t>
  </si>
  <si>
    <t>cHosp_Wheeze</t>
  </si>
  <si>
    <t>Cost of hospitalization for wheezing (HCUP)</t>
  </si>
  <si>
    <t>HCUP - CCS asthma, mean cost, age 5-9 - SA +/- SE</t>
  </si>
  <si>
    <t>4295</t>
  </si>
  <si>
    <t>cHosp_Flu</t>
  </si>
  <si>
    <t>Cost of hospitalization including non-medical indirect costs for expected stay due to flu</t>
  </si>
  <si>
    <t>daysHosp_Flu * (cHosp_Flu_Daily + cNonMed_Daily)</t>
  </si>
  <si>
    <t>daysHosp_Flu</t>
  </si>
  <si>
    <t>Number of days of hospitalization for Flu (Luce)</t>
  </si>
  <si>
    <t>2.2</t>
  </si>
  <si>
    <t>cHosp_Flu_Daily</t>
  </si>
  <si>
    <t>Daily cost of flu hospitalization (from HCUP - see tab in Parameters spreadsheet)</t>
  </si>
  <si>
    <t>SA +/- SE</t>
  </si>
  <si>
    <t>2140</t>
  </si>
  <si>
    <t>cHosp_AOM</t>
  </si>
  <si>
    <t>cHosp_LRI</t>
  </si>
  <si>
    <t>daysHosp_LRI * (cHosp_Flu_Daily + cNonMed_Daily)</t>
  </si>
  <si>
    <t>daysHosp_LRI</t>
  </si>
  <si>
    <t>Number of days of hospitalization for LRI (Luce)</t>
  </si>
  <si>
    <t>2.8</t>
  </si>
  <si>
    <t>cVaccine_Admin</t>
  </si>
  <si>
    <t>Cost of vaccine administration (CMS 90471 &amp; 90473)</t>
  </si>
  <si>
    <t>SA - min and max regional cost</t>
  </si>
  <si>
    <t>25.08</t>
  </si>
  <si>
    <t>numVisits_Flu</t>
  </si>
  <si>
    <t>Number of visits with uncomplicated flu when MD visits occur (assumed)</t>
  </si>
  <si>
    <t>1</t>
  </si>
  <si>
    <t>pVisitMD_Flu</t>
  </si>
  <si>
    <t>Probability of seeking care with uncomplicated flu (Rose et al 2014)</t>
  </si>
  <si>
    <t>used data for ages 2-6</t>
  </si>
  <si>
    <t>0.40</t>
  </si>
  <si>
    <t>pGetFlu_Rx</t>
  </si>
  <si>
    <t>Probability of receiving antivirals for flu (assumed)</t>
  </si>
  <si>
    <t>pVisitMD_LRI</t>
  </si>
  <si>
    <t>Probability of an MD visit with LRI (assumed)</t>
  </si>
  <si>
    <t>numVisits_LRI</t>
  </si>
  <si>
    <t>Number of visits with LRI (assumed)</t>
  </si>
  <si>
    <t>2</t>
  </si>
  <si>
    <t>pVisitMD_AOM</t>
  </si>
  <si>
    <t>Probability of an MD visit with AOM (assumed)</t>
  </si>
  <si>
    <t>numVisits_AOM</t>
  </si>
  <si>
    <t>Number of MD visits with AOM (assumed)</t>
  </si>
  <si>
    <t>eff_LAIV</t>
  </si>
  <si>
    <t>Efficacy of LAIV in preventing flu (Rick's VE Excel file)</t>
  </si>
  <si>
    <t>SA range from Excel</t>
  </si>
  <si>
    <t>0.83</t>
  </si>
  <si>
    <t>eff_TIV</t>
  </si>
  <si>
    <t>Efficacy of TIV in preventing flu  (Rick's VE Excel file)</t>
  </si>
  <si>
    <t>0.64</t>
  </si>
  <si>
    <t>Percent_AOM</t>
  </si>
  <si>
    <t>Percentage of flu cases with AOM (est. Prosser, Salo)</t>
  </si>
  <si>
    <t>SA =- Prosser calc for older and younger children</t>
  </si>
  <si>
    <t>0.15</t>
  </si>
  <si>
    <t>Percent_AOM_LAIV</t>
  </si>
  <si>
    <t>Percentage of flu cases with AOM (calculated from Luce and RR from ACIP slides)</t>
  </si>
  <si>
    <t>RR_AOM_LAIVvsTIV * Percent_AOM_TIV</t>
  </si>
  <si>
    <t>Percent_AOM_TIV</t>
  </si>
  <si>
    <t>Percentage of flu cases with AOM post TIV (Luce)</t>
  </si>
  <si>
    <t>0.078</t>
  </si>
  <si>
    <t>Percent_LRI</t>
  </si>
  <si>
    <t>percentage of flu cases with LRI (Luce, calculated for LAIV [TIV 7.8%])</t>
  </si>
  <si>
    <t>0.076</t>
  </si>
  <si>
    <t>RR_AOM_LAIVvsTIV</t>
  </si>
  <si>
    <t>Risk ratio AOM LAIV vs TIV (ACIP slides)</t>
  </si>
  <si>
    <t>SA from slides</t>
  </si>
  <si>
    <t>0.47</t>
  </si>
  <si>
    <t>pGetVax</t>
  </si>
  <si>
    <t>Probability of getting a vaccine throughout a flu season</t>
  </si>
  <si>
    <t>cAOM_meds</t>
  </si>
  <si>
    <t>Cost of AOM medication (Table 3. http://onlinelibrary.wiley.com/doi/10.1002/lary.24190/pdf)</t>
  </si>
  <si>
    <t>30</t>
  </si>
  <si>
    <t>cLRI_meds</t>
  </si>
  <si>
    <t>Cost of LRI medication (assumed = AOM medication)</t>
  </si>
  <si>
    <t>Cost of hospitalization for Acute Otitis Media</t>
  </si>
  <si>
    <t>Cost of hospitalization including non-medical direct costs for expected stay due to flu and LRI</t>
  </si>
  <si>
    <t>Sensitivity analysis</t>
  </si>
  <si>
    <t>SD</t>
  </si>
  <si>
    <t>dist</t>
  </si>
  <si>
    <t>Gamma</t>
  </si>
  <si>
    <r>
      <rPr>
        <b/>
        <u/>
        <sz val="10"/>
        <rFont val="Arial"/>
        <family val="2"/>
      </rPr>
      <t>Type</t>
    </r>
  </si>
  <si>
    <r>
      <rPr>
        <b/>
        <u/>
        <sz val="10"/>
        <rFont val="Arial"/>
        <family val="2"/>
      </rPr>
      <t>Param 1</t>
    </r>
  </si>
  <si>
    <r>
      <rPr>
        <b/>
        <u/>
        <sz val="10"/>
        <rFont val="Arial"/>
        <family val="2"/>
      </rPr>
      <t>Param 2</t>
    </r>
  </si>
  <si>
    <r>
      <rPr>
        <b/>
        <u/>
        <sz val="10"/>
        <rFont val="Arial"/>
        <family val="2"/>
      </rPr>
      <t>Param 3</t>
    </r>
  </si>
  <si>
    <r>
      <rPr>
        <b/>
        <u/>
        <sz val="10"/>
        <rFont val="Arial"/>
        <family val="2"/>
      </rPr>
      <t>Sampling Rate</t>
    </r>
  </si>
  <si>
    <t>Index</t>
  </si>
  <si>
    <t>Name2</t>
  </si>
  <si>
    <t>Description3</t>
  </si>
  <si>
    <t>Beta</t>
  </si>
  <si>
    <t>newMean</t>
  </si>
  <si>
    <t>newSD</t>
  </si>
  <si>
    <t>mean</t>
  </si>
  <si>
    <t>Poisson</t>
  </si>
  <si>
    <t>None</t>
  </si>
  <si>
    <t>LogNormal</t>
  </si>
  <si>
    <t>distLow</t>
  </si>
  <si>
    <t>distHigh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</si>
</sst>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0.0000"/>
    <numFmt numFmtId="165" formatCode="0.00000000000000000"/>
    <numFmt numFmtId="166" formatCode="0.000000000000000000"/>
  </numFmts>
  <fonts count="3" x14ac:knownFonts="1">
    <font>
      <sz val="10"/>
      <name val="Arial"/>
    </font>
    <font>
      <b/>
      <u/>
      <sz val="10"/>
      <name val="Arial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66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2" borderId="0" xfId="0" applyFill="1"/>
    <xf numFmtId="1" fontId="0" fillId="0" borderId="0" xfId="0" applyNumberFormat="1"/>
    <xf numFmtId="1" fontId="0" fillId="2" borderId="0" xfId="0" applyNumberFormat="1" applyFill="1"/>
    <xf numFmtId="0" fontId="0" fillId="0" borderId="0" xfId="0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5" fontId="0" fillId="2" borderId="0" xfId="0" applyNumberFormat="1" applyFill="1"/>
    <xf numFmtId="166" fontId="0" fillId="2" borderId="0" xfId="0" applyNumberFormat="1" applyFill="1"/>
    <xf numFmtId="0" fontId="0" fillId="0" borderId="0" xfId="0" applyFill="1"/>
    <xf numFmtId="164" fontId="0" fillId="0" borderId="0" xfId="0" applyNumberFormat="1" applyFill="1"/>
    <xf numFmtId="1" fontId="0" fillId="0" borderId="0" xfId="0" applyNumberFormat="1" applyFill="1"/>
    <xf numFmtId="0" fontId="2" fillId="0" borderId="0" xfId="0" applyFont="1"/>
  </cellXfs>
  <cellStyles count="1">
    <cellStyle name="Normal" xfId="0" builtinId="0"/>
  </cellStyles>
  <dxfs count="6">
    <dxf>
      <numFmt numFmtId="1" formatCode="0"/>
    </dxf>
    <dxf>
      <numFmt numFmtId="164" formatCode="0.0000"/>
      <fill>
        <patternFill patternType="solid">
          <fgColor indexed="64"/>
          <bgColor rgb="FFFF66FF"/>
        </patternFill>
      </fill>
    </dxf>
    <dxf>
      <numFmt numFmtId="164" formatCode="0.0000"/>
      <fill>
        <patternFill patternType="solid">
          <fgColor indexed="64"/>
          <bgColor rgb="FFFF66FF"/>
        </patternFill>
      </fill>
    </dxf>
    <dxf>
      <numFmt numFmtId="0" formatCode="General"/>
    </dxf>
    <dxf>
      <fill>
        <patternFill>
          <bgColor rgb="FF92D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U90" totalsRowShown="0">
  <autoFilter ref="A1:U90">
    <filterColumn colId="6">
      <filters>
        <filter val="Beta"/>
        <filter val="Gamma"/>
        <filter val="LogNormal"/>
        <filter val="Poisson"/>
      </filters>
    </filterColumn>
  </autoFilter>
  <sortState ref="A2:U90">
    <sortCondition ref="A1:A90"/>
  </sortState>
  <tableColumns count="21">
    <tableColumn id="1" name="Name"/>
    <tableColumn id="2" name="Description"/>
    <tableColumn id="3" name="Sensitivity analysis"/>
    <tableColumn id="4" name="Root Definition"/>
    <tableColumn id="5" name="Low"/>
    <tableColumn id="6" name="High"/>
    <tableColumn id="7" name="dist"/>
    <tableColumn id="8" name="newMean"/>
    <tableColumn id="9" name="newSD"/>
    <tableColumn id="11" name="mean" dataDxfId="3">
      <calculatedColumnFormula>IF(ISBLANK(Table1[[#This Row],[newMean]]),Table1[[#This Row],[Root Definition]],Table1[[#This Row],[newMean]])</calculatedColumnFormula>
    </tableColumn>
    <tableColumn id="10" name="SD"/>
    <tableColumn id="12" name="distLow" dataDxfId="2">
      <calculatedColumnFormula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calculatedColumnFormula>
    </tableColumn>
    <tableColumn id="21" name="distHigh" dataDxfId="1">
      <calculatedColumnFormula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calculatedColumnFormula>
    </tableColumn>
    <tableColumn id="13" name="Index" dataDxfId="0"/>
    <tableColumn id="14" name="Type"/>
    <tableColumn id="15" name="Name2"/>
    <tableColumn id="16" name="Description3"/>
    <tableColumn id="17" name="Param 1"/>
    <tableColumn id="18" name="Param 2"/>
    <tableColumn id="19" name="Param 3"/>
    <tableColumn id="20" name="Sampling Rat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97"/>
  <sheetViews>
    <sheetView tabSelected="1" workbookViewId="0">
      <pane xSplit="6" topLeftCell="G1" activePane="topRight" state="frozen"/>
      <selection activeCell="A4" sqref="A4"/>
      <selection pane="topRight" activeCell="G3" sqref="G3"/>
    </sheetView>
  </sheetViews>
  <sheetFormatPr defaultRowHeight="12.75" x14ac:dyDescent="0.2"/>
  <cols>
    <col min="1" max="1" width="25.42578125" customWidth="1"/>
    <col min="2" max="2" width="33.42578125" hidden="1" customWidth="1"/>
    <col min="3" max="3" width="25.85546875" hidden="1" customWidth="1"/>
    <col min="4" max="4" width="11" customWidth="1"/>
    <col min="5" max="5" width="10.42578125" customWidth="1"/>
    <col min="6" max="7" width="13.7109375" customWidth="1"/>
    <col min="8" max="8" width="10.140625" customWidth="1"/>
    <col min="10" max="10" width="9.140625" style="6"/>
    <col min="12" max="13" width="9.85546875" style="12" customWidth="1"/>
    <col min="14" max="14" width="15.7109375" style="12" customWidth="1"/>
    <col min="17" max="17" width="13.42578125" customWidth="1"/>
    <col min="18" max="18" width="10.140625" customWidth="1"/>
    <col min="19" max="19" width="14.7109375" customWidth="1"/>
    <col min="20" max="20" width="10.140625" customWidth="1"/>
    <col min="21" max="21" width="15.28515625" customWidth="1"/>
  </cols>
  <sheetData>
    <row r="1" spans="1:21" x14ac:dyDescent="0.2">
      <c r="A1" t="s">
        <v>0</v>
      </c>
      <c r="B1" t="s">
        <v>1</v>
      </c>
      <c r="C1" s="1" t="s">
        <v>269</v>
      </c>
      <c r="D1" t="s">
        <v>2</v>
      </c>
      <c r="E1" t="s">
        <v>3</v>
      </c>
      <c r="F1" t="s">
        <v>4</v>
      </c>
      <c r="G1" t="s">
        <v>271</v>
      </c>
      <c r="H1" t="s">
        <v>282</v>
      </c>
      <c r="I1" t="s">
        <v>283</v>
      </c>
      <c r="J1" s="6" t="s">
        <v>284</v>
      </c>
      <c r="K1" t="s">
        <v>270</v>
      </c>
      <c r="L1" s="12" t="s">
        <v>288</v>
      </c>
      <c r="M1" s="12" t="s">
        <v>289</v>
      </c>
      <c r="N1" s="12" t="s">
        <v>278</v>
      </c>
      <c r="O1" t="s">
        <v>273</v>
      </c>
      <c r="P1" t="s">
        <v>279</v>
      </c>
      <c r="Q1" t="s">
        <v>280</v>
      </c>
      <c r="R1" t="s">
        <v>274</v>
      </c>
      <c r="S1" t="s">
        <v>275</v>
      </c>
      <c r="T1" t="s">
        <v>276</v>
      </c>
      <c r="U1" t="s">
        <v>277</v>
      </c>
    </row>
    <row r="2" spans="1:21" s="3" customFormat="1" x14ac:dyDescent="0.2">
      <c r="A2" s="3" t="s">
        <v>121</v>
      </c>
      <c r="B2" s="3" t="s">
        <v>122</v>
      </c>
      <c r="C2" s="3" t="s">
        <v>123</v>
      </c>
      <c r="D2" s="3" t="s">
        <v>124</v>
      </c>
      <c r="E2" s="3">
        <v>0.90500000000000003</v>
      </c>
      <c r="F2" s="3">
        <v>3.62</v>
      </c>
      <c r="G2" s="3" t="s">
        <v>272</v>
      </c>
      <c r="H2" s="6"/>
      <c r="I2" s="3">
        <v>0.6</v>
      </c>
      <c r="J2" s="6" t="str">
        <f>IF(ISBLANK(Table1[[#This Row],[newMean]]),Table1[[#This Row],[Root Definition]],Table1[[#This Row],[newMean]])</f>
        <v>1.81</v>
      </c>
      <c r="K2" s="6">
        <f>IF(I2&gt;0,I2,(F2-D2)/2)</f>
        <v>0.6</v>
      </c>
      <c r="L2" s="13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3.9313038147214818E-2</v>
      </c>
      <c r="M2" s="13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0.99318513052529855</v>
      </c>
      <c r="N2" s="14">
        <v>2</v>
      </c>
      <c r="O2" s="6" t="str">
        <f>G2</f>
        <v>Gamma</v>
      </c>
      <c r="P2" s="6" t="str">
        <f>CONCATENATE("dist_",A2)</f>
        <v>dist_cAdvEvent_Other</v>
      </c>
      <c r="R2" s="7">
        <f>IF(Table1[[#This Row],[dist]]="Gamma",Table1[[#This Row],[mean]]^2/Table1[[#This Row],[SD]]^2,IF(Table1[[#This Row],[dist]]="Beta",(((Table1[[#This Row],[mean]])^2)*(1-(Table1[[#This Row],[mean]]))/((Table1[[#This Row],[SD]])^2)-(Table1[[#This Row],[mean]])),0))</f>
        <v>9.1002777777777784</v>
      </c>
      <c r="S2" s="7">
        <f>IF(Table1[[#This Row],[dist]]="Gamma",Table1[[#This Row],[mean]]/Table1[[#This Row],[SD]]^2,IF(Table1[[#This Row],[dist]]="Beta",((1-(Table1[[#This Row],[mean]]))*(((1-(Table1[[#This Row],[mean]]))*(Table1[[#This Row],[mean]]))/((Table1[[#This Row],[SD]])^2)-1)),0))</f>
        <v>5.0277777777777777</v>
      </c>
      <c r="U2" s="6">
        <v>0</v>
      </c>
    </row>
    <row r="3" spans="1:21" x14ac:dyDescent="0.2">
      <c r="A3" t="s">
        <v>159</v>
      </c>
      <c r="B3" t="s">
        <v>160</v>
      </c>
      <c r="C3" t="s">
        <v>43</v>
      </c>
      <c r="D3" t="s">
        <v>161</v>
      </c>
      <c r="E3">
        <v>31.46</v>
      </c>
      <c r="F3">
        <v>94.38</v>
      </c>
      <c r="G3" t="s">
        <v>272</v>
      </c>
      <c r="I3">
        <v>16.5</v>
      </c>
      <c r="J3" s="6" t="str">
        <f>IF(ISBLANK(Table1[[#This Row],[newMean]]),Table1[[#This Row],[Root Definition]],Table1[[#This Row],[newMean]])</f>
        <v>62.92</v>
      </c>
      <c r="K3" s="6">
        <f>IF(I3&gt;0,I3,(F3-D3)/2)</f>
        <v>16.5</v>
      </c>
      <c r="L3" s="13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1.1357515821107366E-2</v>
      </c>
      <c r="M3" s="13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0.95929081415363204</v>
      </c>
      <c r="N3" s="14">
        <v>13</v>
      </c>
      <c r="O3" t="str">
        <f>G3</f>
        <v>Gamma</v>
      </c>
      <c r="P3" t="str">
        <f>CONCATENATE("dist_",A3)</f>
        <v>dist_cAdvEvent_Wheeze</v>
      </c>
      <c r="R3" s="7">
        <f>IF(Table1[[#This Row],[dist]]="Gamma",Table1[[#This Row],[mean]]^2/Table1[[#This Row],[SD]]^2,IF(Table1[[#This Row],[dist]]="Beta",(((Table1[[#This Row],[mean]])^2)*(1-(Table1[[#This Row],[mean]]))/((Table1[[#This Row],[SD]])^2)-(Table1[[#This Row],[mean]])),0))</f>
        <v>14.541511111111111</v>
      </c>
      <c r="S3" s="7">
        <f>IF(Table1[[#This Row],[dist]]="Gamma",Table1[[#This Row],[mean]]/Table1[[#This Row],[SD]]^2,IF(Table1[[#This Row],[dist]]="Beta",((1-(Table1[[#This Row],[mean]]))*(((1-(Table1[[#This Row],[mean]]))*(Table1[[#This Row],[mean]]))/((Table1[[#This Row],[SD]])^2)-1)),0))</f>
        <v>0.23111111111111113</v>
      </c>
      <c r="U3" s="6">
        <v>0</v>
      </c>
    </row>
    <row r="4" spans="1:21" s="3" customFormat="1" x14ac:dyDescent="0.2">
      <c r="A4" s="3" t="s">
        <v>262</v>
      </c>
      <c r="B4" s="3" t="s">
        <v>263</v>
      </c>
      <c r="C4" s="3" t="s">
        <v>43</v>
      </c>
      <c r="D4" s="3" t="s">
        <v>264</v>
      </c>
      <c r="E4" s="3">
        <v>15</v>
      </c>
      <c r="F4" s="3">
        <v>45</v>
      </c>
      <c r="G4" s="3" t="s">
        <v>272</v>
      </c>
      <c r="I4" s="6"/>
      <c r="J4" s="6" t="str">
        <f>IF(ISBLANK(Table1[[#This Row],[newMean]]),Table1[[#This Row],[Root Definition]],Table1[[#This Row],[newMean]])</f>
        <v>30</v>
      </c>
      <c r="K4" s="6">
        <f>IF(I4&gt;0,I4,(F4-D4)/2)</f>
        <v>7.5</v>
      </c>
      <c r="L4" s="13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8.2310109868448979E-3</v>
      </c>
      <c r="M4" s="13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0.96559990594042522</v>
      </c>
      <c r="N4" s="14">
        <v>7</v>
      </c>
      <c r="O4" s="6" t="str">
        <f>G4</f>
        <v>Gamma</v>
      </c>
      <c r="P4" s="6" t="str">
        <f>CONCATENATE("dist_",A4)</f>
        <v>dist_cAOM_meds</v>
      </c>
      <c r="R4" s="7">
        <f>IF(Table1[[#This Row],[dist]]="Gamma",Table1[[#This Row],[mean]]^2/Table1[[#This Row],[SD]]^2,IF(Table1[[#This Row],[dist]]="Beta",(((Table1[[#This Row],[mean]])^2)*(1-(Table1[[#This Row],[mean]]))/((Table1[[#This Row],[SD]])^2)-(Table1[[#This Row],[mean]])),0))</f>
        <v>16</v>
      </c>
      <c r="S4" s="7">
        <f>IF(Table1[[#This Row],[dist]]="Gamma",Table1[[#This Row],[mean]]/Table1[[#This Row],[SD]]^2,IF(Table1[[#This Row],[dist]]="Beta",((1-(Table1[[#This Row],[mean]]))*(((1-(Table1[[#This Row],[mean]]))*(Table1[[#This Row],[mean]]))/((Table1[[#This Row],[SD]])^2)-1)),0))</f>
        <v>0.53333333333333333</v>
      </c>
      <c r="U4" s="6">
        <v>0</v>
      </c>
    </row>
    <row r="5" spans="1:21" hidden="1" x14ac:dyDescent="0.2">
      <c r="A5" s="6" t="s">
        <v>26</v>
      </c>
      <c r="B5" s="6" t="s">
        <v>27</v>
      </c>
      <c r="C5" s="6" t="s">
        <v>13</v>
      </c>
      <c r="D5" s="6" t="s">
        <v>28</v>
      </c>
      <c r="E5" s="6">
        <v>0</v>
      </c>
      <c r="F5" s="6">
        <v>849.4</v>
      </c>
      <c r="G5" s="6"/>
      <c r="H5" s="6"/>
      <c r="I5" s="6"/>
      <c r="J5" s="6" t="str">
        <f>IF(ISBLANK(Table1[[#This Row],[newMean]]),Table1[[#This Row],[Root Definition]],Table1[[#This Row],[newMean]])</f>
        <v>cAOM_meds + (pGetFlu_Rx * cFluRx) + (pVisitMD_AOM * cFlu_MD * numVisits_AOM) + (cNonMed_Daily * daysAOM)</v>
      </c>
      <c r="K5" s="6"/>
      <c r="L5" s="8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0</v>
      </c>
      <c r="M5" s="9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</v>
      </c>
      <c r="N5" s="4"/>
      <c r="O5" s="6"/>
      <c r="P5" s="6"/>
      <c r="Q5" s="6"/>
      <c r="R5" s="6"/>
      <c r="S5" s="6"/>
      <c r="T5" s="6"/>
      <c r="U5" s="6"/>
    </row>
    <row r="6" spans="1:21" x14ac:dyDescent="0.2">
      <c r="A6" t="s">
        <v>106</v>
      </c>
      <c r="B6" t="s">
        <v>107</v>
      </c>
      <c r="C6" t="s">
        <v>108</v>
      </c>
      <c r="D6" t="s">
        <v>109</v>
      </c>
      <c r="E6">
        <v>60.22</v>
      </c>
      <c r="F6">
        <v>92.78</v>
      </c>
      <c r="G6" t="s">
        <v>272</v>
      </c>
      <c r="I6">
        <v>9.1</v>
      </c>
      <c r="J6" s="6" t="str">
        <f>IF(ISBLANK(Table1[[#This Row],[newMean]]),Table1[[#This Row],[Root Definition]],Table1[[#This Row],[newMean]])</f>
        <v>73.08</v>
      </c>
      <c r="K6" s="6">
        <f>IF(I6&gt;0,I6,(F6-D6)/2)</f>
        <v>9.1</v>
      </c>
      <c r="L6" s="13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7.1648016384367338E-2</v>
      </c>
      <c r="M6" s="13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0.97916472394844378</v>
      </c>
      <c r="N6" s="14">
        <v>15</v>
      </c>
      <c r="O6" t="str">
        <f>G6</f>
        <v>Gamma</v>
      </c>
      <c r="P6" t="str">
        <f>CONCATENATE("dist_",A6)</f>
        <v>dist_cFlu_MD</v>
      </c>
      <c r="R6" s="7">
        <f>IF(Table1[[#This Row],[dist]]="Gamma",Table1[[#This Row],[mean]]^2/Table1[[#This Row],[SD]]^2,IF(Table1[[#This Row],[dist]]="Beta",(((Table1[[#This Row],[mean]])^2)*(1-(Table1[[#This Row],[mean]]))/((Table1[[#This Row],[SD]])^2)-(Table1[[#This Row],[mean]])),0))</f>
        <v>64.493254437869822</v>
      </c>
      <c r="S6" s="7">
        <f>IF(Table1[[#This Row],[dist]]="Gamma",Table1[[#This Row],[mean]]/Table1[[#This Row],[SD]]^2,IF(Table1[[#This Row],[dist]]="Beta",((1-(Table1[[#This Row],[mean]]))*(((1-(Table1[[#This Row],[mean]]))*(Table1[[#This Row],[mean]]))/((Table1[[#This Row],[SD]])^2)-1)),0))</f>
        <v>0.8825021132713442</v>
      </c>
      <c r="U6" s="6">
        <v>0</v>
      </c>
    </row>
    <row r="7" spans="1:21" x14ac:dyDescent="0.2">
      <c r="A7" t="s">
        <v>114</v>
      </c>
      <c r="B7" t="s">
        <v>115</v>
      </c>
      <c r="C7" t="s">
        <v>43</v>
      </c>
      <c r="D7" t="s">
        <v>116</v>
      </c>
      <c r="E7">
        <v>51.5</v>
      </c>
      <c r="F7">
        <v>154.5</v>
      </c>
      <c r="G7" t="s">
        <v>272</v>
      </c>
      <c r="J7" s="6" t="str">
        <f>IF(ISBLANK(Table1[[#This Row],[newMean]]),Table1[[#This Row],[Root Definition]],Table1[[#This Row],[newMean]])</f>
        <v>103</v>
      </c>
      <c r="K7" s="6">
        <f>IF(I7&gt;0,I7,(F7-D7)/2)</f>
        <v>25.75</v>
      </c>
      <c r="L7" s="13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8.2310109868448979E-3</v>
      </c>
      <c r="M7" s="13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0.96559990594042522</v>
      </c>
      <c r="N7" s="14">
        <v>14</v>
      </c>
      <c r="O7" t="str">
        <f>G7</f>
        <v>Gamma</v>
      </c>
      <c r="P7" t="str">
        <f>CONCATENATE("dist_",A7)</f>
        <v>dist_cFluRx</v>
      </c>
      <c r="R7" s="7">
        <f>IF(Table1[[#This Row],[dist]]="Gamma",Table1[[#This Row],[mean]]^2/Table1[[#This Row],[SD]]^2,IF(Table1[[#This Row],[dist]]="Beta",(((Table1[[#This Row],[mean]])^2)*(1-(Table1[[#This Row],[mean]]))/((Table1[[#This Row],[SD]])^2)-(Table1[[#This Row],[mean]])),0))</f>
        <v>16</v>
      </c>
      <c r="S7" s="7">
        <f>IF(Table1[[#This Row],[dist]]="Gamma",Table1[[#This Row],[mean]]/Table1[[#This Row],[SD]]^2,IF(Table1[[#This Row],[dist]]="Beta",((1-(Table1[[#This Row],[mean]]))*(((1-(Table1[[#This Row],[mean]]))*(Table1[[#This Row],[mean]]))/((Table1[[#This Row],[SD]])^2)-1)),0))</f>
        <v>0.1553398058252427</v>
      </c>
      <c r="U7" s="6">
        <v>0</v>
      </c>
    </row>
    <row r="8" spans="1:21" hidden="1" x14ac:dyDescent="0.2">
      <c r="A8" t="s">
        <v>14</v>
      </c>
      <c r="B8" t="s">
        <v>15</v>
      </c>
      <c r="C8" t="s">
        <v>13</v>
      </c>
      <c r="D8" t="s">
        <v>16</v>
      </c>
      <c r="E8">
        <v>0</v>
      </c>
      <c r="F8">
        <v>618.23199999999997</v>
      </c>
      <c r="J8" s="6" t="str">
        <f>IF(ISBLANK(Table1[[#This Row],[newMean]]),Table1[[#This Row],[Root Definition]],Table1[[#This Row],[newMean]])</f>
        <v>(pGetFlu_Rx * cFluRx) + (pVisitMD_Flu * cFlu_MD * numVisits_Flu) + (cNonMed_Daily * daysFlu)</v>
      </c>
      <c r="K8" s="6"/>
      <c r="L8" s="8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0</v>
      </c>
      <c r="M8" s="9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</v>
      </c>
      <c r="N8" s="4"/>
      <c r="R8" s="6"/>
      <c r="S8" s="6"/>
      <c r="U8" s="6"/>
    </row>
    <row r="9" spans="1:21" hidden="1" x14ac:dyDescent="0.2">
      <c r="A9" s="6" t="s">
        <v>208</v>
      </c>
      <c r="B9" s="6" t="s">
        <v>267</v>
      </c>
      <c r="C9" s="6" t="s">
        <v>13</v>
      </c>
      <c r="D9" s="6" t="s">
        <v>198</v>
      </c>
      <c r="E9" s="6">
        <v>0</v>
      </c>
      <c r="F9" s="6">
        <v>5064.4000000000005</v>
      </c>
      <c r="G9" s="6"/>
      <c r="H9" s="6"/>
      <c r="I9" s="6"/>
      <c r="J9" s="6" t="str">
        <f>IF(ISBLANK(Table1[[#This Row],[newMean]]),Table1[[#This Row],[Root Definition]],Table1[[#This Row],[newMean]])</f>
        <v>cHosp_Flu</v>
      </c>
      <c r="K9" s="6"/>
      <c r="L9" s="8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0</v>
      </c>
      <c r="M9" s="9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</v>
      </c>
      <c r="N9" s="4"/>
      <c r="O9" s="6"/>
      <c r="P9" s="6"/>
      <c r="Q9" s="6"/>
      <c r="R9" s="6"/>
      <c r="S9" s="6"/>
      <c r="T9" s="6"/>
      <c r="U9" s="6"/>
    </row>
    <row r="10" spans="1:21" hidden="1" x14ac:dyDescent="0.2">
      <c r="A10" t="s">
        <v>198</v>
      </c>
      <c r="B10" t="s">
        <v>199</v>
      </c>
      <c r="C10" t="s">
        <v>13</v>
      </c>
      <c r="D10" t="s">
        <v>200</v>
      </c>
      <c r="E10">
        <v>0</v>
      </c>
      <c r="F10">
        <v>5064.4000000000005</v>
      </c>
      <c r="J10" s="6" t="str">
        <f>IF(ISBLANK(Table1[[#This Row],[newMean]]),Table1[[#This Row],[Root Definition]],Table1[[#This Row],[newMean]])</f>
        <v>daysHosp_Flu * (cHosp_Flu_Daily + cNonMed_Daily)</v>
      </c>
      <c r="K10" s="6"/>
      <c r="L10" s="8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0</v>
      </c>
      <c r="M10" s="9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</v>
      </c>
      <c r="N10" s="4"/>
      <c r="R10" s="6"/>
      <c r="S10" s="6"/>
      <c r="U10" s="6"/>
    </row>
    <row r="11" spans="1:21" x14ac:dyDescent="0.2">
      <c r="A11" s="6" t="s">
        <v>204</v>
      </c>
      <c r="B11" s="6" t="s">
        <v>205</v>
      </c>
      <c r="C11" s="6" t="s">
        <v>206</v>
      </c>
      <c r="D11" s="6" t="s">
        <v>207</v>
      </c>
      <c r="E11" s="6">
        <v>1748</v>
      </c>
      <c r="F11" s="6">
        <v>2532</v>
      </c>
      <c r="G11" s="6" t="s">
        <v>272</v>
      </c>
      <c r="H11" s="6"/>
      <c r="I11" s="6"/>
      <c r="J11" s="6" t="str">
        <f>IF(ISBLANK(Table1[[#This Row],[newMean]]),Table1[[#This Row],[Root Definition]],Table1[[#This Row],[newMean]])</f>
        <v>2140</v>
      </c>
      <c r="K11" s="6">
        <f>IF(I11&gt;0,I11,(F11-D11)/2)</f>
        <v>196</v>
      </c>
      <c r="L11" s="13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1.7599134006877872E-2</v>
      </c>
      <c r="M11" s="13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0.97254356702539979</v>
      </c>
      <c r="N11" s="14">
        <v>16</v>
      </c>
      <c r="O11" s="6" t="str">
        <f>G11</f>
        <v>Gamma</v>
      </c>
      <c r="P11" s="6" t="str">
        <f>CONCATENATE("dist_",A11)</f>
        <v>dist_cHosp_Flu_Daily</v>
      </c>
      <c r="Q11" s="6"/>
      <c r="R11" s="7">
        <f>IF(Table1[[#This Row],[dist]]="Gamma",Table1[[#This Row],[mean]]^2/Table1[[#This Row],[SD]]^2,IF(Table1[[#This Row],[dist]]="Beta",(((Table1[[#This Row],[mean]])^2)*(1-(Table1[[#This Row],[mean]]))/((Table1[[#This Row],[SD]])^2)-(Table1[[#This Row],[mean]])),0))</f>
        <v>119.21074552269887</v>
      </c>
      <c r="S11" s="7">
        <f>IF(Table1[[#This Row],[dist]]="Gamma",Table1[[#This Row],[mean]]/Table1[[#This Row],[SD]]^2,IF(Table1[[#This Row],[dist]]="Beta",((1-(Table1[[#This Row],[mean]]))*(((1-(Table1[[#This Row],[mean]]))*(Table1[[#This Row],[mean]]))/((Table1[[#This Row],[SD]])^2)-1)),0))</f>
        <v>5.5705955851728446E-2</v>
      </c>
      <c r="T11" s="6"/>
      <c r="U11" s="6">
        <v>0</v>
      </c>
    </row>
    <row r="12" spans="1:21" hidden="1" x14ac:dyDescent="0.2">
      <c r="A12" s="6" t="s">
        <v>209</v>
      </c>
      <c r="B12" s="6" t="s">
        <v>268</v>
      </c>
      <c r="C12" s="6" t="s">
        <v>13</v>
      </c>
      <c r="D12" s="6" t="s">
        <v>210</v>
      </c>
      <c r="E12" s="6">
        <v>0</v>
      </c>
      <c r="F12" s="6">
        <v>6445.5999999999995</v>
      </c>
      <c r="G12" s="6"/>
      <c r="H12" s="6"/>
      <c r="I12" s="6"/>
      <c r="J12" s="6" t="str">
        <f>IF(ISBLANK(Table1[[#This Row],[newMean]]),Table1[[#This Row],[Root Definition]],Table1[[#This Row],[newMean]])</f>
        <v>daysHosp_LRI * (cHosp_Flu_Daily + cNonMed_Daily)</v>
      </c>
      <c r="K12" s="6"/>
      <c r="L12" s="8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0</v>
      </c>
      <c r="M12" s="9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</v>
      </c>
      <c r="N12" s="4"/>
      <c r="O12" s="6"/>
      <c r="P12" s="6"/>
      <c r="Q12" s="6"/>
      <c r="R12" s="6"/>
      <c r="S12" s="6"/>
      <c r="T12" s="6"/>
      <c r="U12" s="6"/>
    </row>
    <row r="13" spans="1:21" x14ac:dyDescent="0.2">
      <c r="A13" t="s">
        <v>194</v>
      </c>
      <c r="B13" t="s">
        <v>195</v>
      </c>
      <c r="C13" t="s">
        <v>196</v>
      </c>
      <c r="D13" t="s">
        <v>197</v>
      </c>
      <c r="E13">
        <v>4103</v>
      </c>
      <c r="F13">
        <v>4487</v>
      </c>
      <c r="G13" t="s">
        <v>272</v>
      </c>
      <c r="J13" s="6" t="str">
        <f>IF(ISBLANK(Table1[[#This Row],[newMean]]),Table1[[#This Row],[Root Definition]],Table1[[#This Row],[newMean]])</f>
        <v>4295</v>
      </c>
      <c r="K13" s="6">
        <f>IF(I13&gt;0,I13,(F13-D13)/2)</f>
        <v>96</v>
      </c>
      <c r="L13" s="13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2.1530105949715047E-2</v>
      </c>
      <c r="M13" s="13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0.97605678687717212</v>
      </c>
      <c r="N13" s="14">
        <v>17</v>
      </c>
      <c r="O13" t="str">
        <f>G13</f>
        <v>Gamma</v>
      </c>
      <c r="P13" t="str">
        <f>CONCATENATE("dist_",A13)</f>
        <v>dist_cHosp_Wheeze</v>
      </c>
      <c r="R13" s="7">
        <f>IF(Table1[[#This Row],[dist]]="Gamma",Table1[[#This Row],[mean]]^2/Table1[[#This Row],[SD]]^2,IF(Table1[[#This Row],[dist]]="Beta",(((Table1[[#This Row],[mean]])^2)*(1-(Table1[[#This Row],[mean]]))/((Table1[[#This Row],[SD]])^2)-(Table1[[#This Row],[mean]])),0))</f>
        <v>2001.6303168402778</v>
      </c>
      <c r="S13" s="7">
        <f>IF(Table1[[#This Row],[dist]]="Gamma",Table1[[#This Row],[mean]]/Table1[[#This Row],[SD]]^2,IF(Table1[[#This Row],[dist]]="Beta",((1-(Table1[[#This Row],[mean]]))*(((1-(Table1[[#This Row],[mean]]))*(Table1[[#This Row],[mean]]))/((Table1[[#This Row],[SD]])^2)-1)),0))</f>
        <v>0.4660373263888889</v>
      </c>
      <c r="U13" s="6">
        <v>0</v>
      </c>
    </row>
    <row r="14" spans="1:21" x14ac:dyDescent="0.2">
      <c r="A14" t="s">
        <v>41</v>
      </c>
      <c r="B14" t="s">
        <v>42</v>
      </c>
      <c r="C14" t="s">
        <v>43</v>
      </c>
      <c r="D14" t="s">
        <v>44</v>
      </c>
      <c r="E14">
        <v>11.35</v>
      </c>
      <c r="F14">
        <v>34.049999999999997</v>
      </c>
      <c r="G14" t="s">
        <v>272</v>
      </c>
      <c r="J14" s="6" t="str">
        <f>IF(ISBLANK(Table1[[#This Row],[newMean]]),Table1[[#This Row],[Root Definition]],Table1[[#This Row],[newMean]])</f>
        <v>22.70</v>
      </c>
      <c r="K14">
        <f>IF(I14&gt;0,I14,(F14-D14)/2)</f>
        <v>5.6749999999999989</v>
      </c>
      <c r="L14" s="13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8.2310109868448961E-3</v>
      </c>
      <c r="M14" s="13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0.96559990594042522</v>
      </c>
      <c r="N14" s="14">
        <v>19</v>
      </c>
      <c r="O14" t="str">
        <f>G14</f>
        <v>Gamma</v>
      </c>
      <c r="P14" t="str">
        <f>CONCATENATE("dist_",A14)</f>
        <v>dist_cLAIV</v>
      </c>
      <c r="R14" s="7">
        <f>IF(Table1[[#This Row],[dist]]="Gamma",Table1[[#This Row],[mean]]^2/Table1[[#This Row],[SD]]^2,IF(Table1[[#This Row],[dist]]="Beta",(((Table1[[#This Row],[mean]])^2)*(1-(Table1[[#This Row],[mean]]))/((Table1[[#This Row],[SD]])^2)-(Table1[[#This Row],[mean]])),0))</f>
        <v>16.000000000000004</v>
      </c>
      <c r="S14" s="7">
        <f>IF(Table1[[#This Row],[dist]]="Gamma",Table1[[#This Row],[mean]]/Table1[[#This Row],[SD]]^2,IF(Table1[[#This Row],[dist]]="Beta",((1-(Table1[[#This Row],[mean]]))*(((1-(Table1[[#This Row],[mean]]))*(Table1[[#This Row],[mean]]))/((Table1[[#This Row],[SD]])^2)-1)),0))</f>
        <v>0.70484581497797372</v>
      </c>
      <c r="U14">
        <v>0</v>
      </c>
    </row>
    <row r="15" spans="1:21" hidden="1" x14ac:dyDescent="0.2">
      <c r="A15" s="6" t="s">
        <v>265</v>
      </c>
      <c r="B15" s="6" t="s">
        <v>266</v>
      </c>
      <c r="C15" s="6" t="s">
        <v>13</v>
      </c>
      <c r="D15" s="6" t="s">
        <v>262</v>
      </c>
      <c r="E15" s="6">
        <v>0</v>
      </c>
      <c r="F15" s="6">
        <v>30</v>
      </c>
      <c r="G15" s="6"/>
      <c r="H15" s="6"/>
      <c r="I15" s="6"/>
      <c r="J15" s="6" t="str">
        <f>IF(ISBLANK(Table1[[#This Row],[newMean]]),Table1[[#This Row],[Root Definition]],Table1[[#This Row],[newMean]])</f>
        <v>cAOM_meds</v>
      </c>
      <c r="K15" s="6"/>
      <c r="L15" s="8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0</v>
      </c>
      <c r="M15" s="9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</v>
      </c>
      <c r="N15" s="4"/>
      <c r="O15" s="6"/>
      <c r="P15" s="6"/>
      <c r="Q15" s="6"/>
      <c r="R15" s="6"/>
      <c r="S15" s="6"/>
      <c r="T15" s="6"/>
      <c r="U15" s="6"/>
    </row>
    <row r="16" spans="1:21" hidden="1" x14ac:dyDescent="0.2">
      <c r="A16" s="6" t="s">
        <v>23</v>
      </c>
      <c r="B16" s="6" t="s">
        <v>24</v>
      </c>
      <c r="C16" s="6" t="s">
        <v>13</v>
      </c>
      <c r="D16" s="6" t="s">
        <v>25</v>
      </c>
      <c r="E16" s="6">
        <v>0</v>
      </c>
      <c r="F16" s="6">
        <v>818.62</v>
      </c>
      <c r="G16" s="6"/>
      <c r="H16" s="6"/>
      <c r="I16" s="6"/>
      <c r="J16" s="6" t="str">
        <f>IF(ISBLANK(Table1[[#This Row],[newMean]]),Table1[[#This Row],[Root Definition]],Table1[[#This Row],[newMean]])</f>
        <v>cLRI_meds + (pGetFlu_Rx * cFluRx) + (pVisitMD_LRI * cFlu_MD * numVisits_LRI) + (cNonMed_Daily * daysLRI)</v>
      </c>
      <c r="K16" s="6"/>
      <c r="L16" s="8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0</v>
      </c>
      <c r="M16" s="9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</v>
      </c>
      <c r="N16" s="4"/>
      <c r="O16" s="6"/>
      <c r="P16" s="6"/>
      <c r="Q16" s="6"/>
      <c r="R16" s="6"/>
      <c r="S16" s="6"/>
      <c r="T16" s="6"/>
      <c r="U16" s="6"/>
    </row>
    <row r="17" spans="1:21" x14ac:dyDescent="0.2">
      <c r="A17" s="6" t="s">
        <v>110</v>
      </c>
      <c r="B17" s="6" t="s">
        <v>111</v>
      </c>
      <c r="C17" s="6" t="s">
        <v>112</v>
      </c>
      <c r="D17" s="6" t="s">
        <v>113</v>
      </c>
      <c r="E17" s="6">
        <v>81</v>
      </c>
      <c r="F17" s="6">
        <v>243</v>
      </c>
      <c r="G17" s="6" t="s">
        <v>272</v>
      </c>
      <c r="H17" s="6"/>
      <c r="I17" s="6"/>
      <c r="J17" s="6" t="str">
        <f>IF(ISBLANK(Table1[[#This Row],[newMean]]),Table1[[#This Row],[Root Definition]],Table1[[#This Row],[newMean]])</f>
        <v>162</v>
      </c>
      <c r="K17" s="6">
        <f>IF(I17&gt;0,I17,(F17-D17)/2)</f>
        <v>40.5</v>
      </c>
      <c r="L17" s="13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8.2310109868448979E-3</v>
      </c>
      <c r="M17" s="13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0.96559990594042522</v>
      </c>
      <c r="N17" s="14">
        <v>18</v>
      </c>
      <c r="O17" s="6" t="str">
        <f>G17</f>
        <v>Gamma</v>
      </c>
      <c r="P17" s="6" t="str">
        <f>CONCATENATE("dist_",A17)</f>
        <v>dist_cNonMed_Daily</v>
      </c>
      <c r="Q17" s="6"/>
      <c r="R17" s="7">
        <f>IF(Table1[[#This Row],[dist]]="Gamma",Table1[[#This Row],[mean]]^2/Table1[[#This Row],[SD]]^2,IF(Table1[[#This Row],[dist]]="Beta",(((Table1[[#This Row],[mean]])^2)*(1-(Table1[[#This Row],[mean]]))/((Table1[[#This Row],[SD]])^2)-(Table1[[#This Row],[mean]])),0))</f>
        <v>16</v>
      </c>
      <c r="S17" s="7">
        <f>IF(Table1[[#This Row],[dist]]="Gamma",Table1[[#This Row],[mean]]/Table1[[#This Row],[SD]]^2,IF(Table1[[#This Row],[dist]]="Beta",((1-(Table1[[#This Row],[mean]]))*(((1-(Table1[[#This Row],[mean]]))*(Table1[[#This Row],[mean]]))/((Table1[[#This Row],[SD]])^2)-1)),0))</f>
        <v>9.8765432098765427E-2</v>
      </c>
      <c r="T17" s="6"/>
      <c r="U17" s="6">
        <v>0</v>
      </c>
    </row>
    <row r="18" spans="1:21" x14ac:dyDescent="0.2">
      <c r="A18" s="6" t="s">
        <v>45</v>
      </c>
      <c r="B18" s="6" t="s">
        <v>46</v>
      </c>
      <c r="C18" s="6" t="s">
        <v>43</v>
      </c>
      <c r="D18" s="6" t="s">
        <v>47</v>
      </c>
      <c r="E18" s="6">
        <v>5.3449999999999998</v>
      </c>
      <c r="F18" s="6">
        <v>16.035</v>
      </c>
      <c r="G18" s="6" t="s">
        <v>272</v>
      </c>
      <c r="H18" s="6"/>
      <c r="I18" s="6"/>
      <c r="J18" s="6" t="str">
        <f>IF(ISBLANK(Table1[[#This Row],[newMean]]),Table1[[#This Row],[Root Definition]],Table1[[#This Row],[newMean]])</f>
        <v>10.69</v>
      </c>
      <c r="K18" s="6">
        <f>IF(I18&gt;0,I18,(F18-D18)/2)</f>
        <v>2.6725000000000003</v>
      </c>
      <c r="L18" s="13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8.2310109868449048E-3</v>
      </c>
      <c r="M18" s="13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0.96559990594042511</v>
      </c>
      <c r="N18" s="14">
        <v>20</v>
      </c>
      <c r="O18" s="6" t="str">
        <f>G18</f>
        <v>Gamma</v>
      </c>
      <c r="P18" s="6" t="str">
        <f>CONCATENATE("dist_",A18)</f>
        <v>dist_cTIV</v>
      </c>
      <c r="Q18" s="6"/>
      <c r="R18" s="7">
        <f>IF(Table1[[#This Row],[dist]]="Gamma",Table1[[#This Row],[mean]]^2/Table1[[#This Row],[SD]]^2,IF(Table1[[#This Row],[dist]]="Beta",(((Table1[[#This Row],[mean]])^2)*(1-(Table1[[#This Row],[mean]]))/((Table1[[#This Row],[SD]])^2)-(Table1[[#This Row],[mean]])),0))</f>
        <v>15.999999999999995</v>
      </c>
      <c r="S18" s="7">
        <f>IF(Table1[[#This Row],[dist]]="Gamma",Table1[[#This Row],[mean]]/Table1[[#This Row],[SD]]^2,IF(Table1[[#This Row],[dist]]="Beta",((1-(Table1[[#This Row],[mean]]))*(((1-(Table1[[#This Row],[mean]]))*(Table1[[#This Row],[mean]]))/((Table1[[#This Row],[SD]])^2)-1)),0))</f>
        <v>1.4967259120673522</v>
      </c>
      <c r="T18" s="6"/>
      <c r="U18" s="6">
        <v>0</v>
      </c>
    </row>
    <row r="19" spans="1:21" x14ac:dyDescent="0.2">
      <c r="A19" s="6" t="s">
        <v>214</v>
      </c>
      <c r="B19" s="6" t="s">
        <v>215</v>
      </c>
      <c r="C19" s="6" t="s">
        <v>216</v>
      </c>
      <c r="D19" s="6" t="s">
        <v>217</v>
      </c>
      <c r="E19" s="6">
        <v>19.079999999999998</v>
      </c>
      <c r="F19" s="6">
        <v>32.32</v>
      </c>
      <c r="G19" s="6" t="s">
        <v>272</v>
      </c>
      <c r="H19" s="6"/>
      <c r="I19" s="6"/>
      <c r="J19" s="6" t="str">
        <f>IF(ISBLANK(Table1[[#This Row],[newMean]]),Table1[[#This Row],[Root Definition]],Table1[[#This Row],[newMean]])</f>
        <v>25.08</v>
      </c>
      <c r="K19" s="6">
        <f>IF(I19&gt;0,I19,(F19-D19)/2)</f>
        <v>3.620000000000001</v>
      </c>
      <c r="L19" s="13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3.897863119046921E-2</v>
      </c>
      <c r="M19" s="13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0.9700606744594924</v>
      </c>
      <c r="N19" s="14">
        <v>21</v>
      </c>
      <c r="O19" s="6" t="str">
        <f>G19</f>
        <v>Gamma</v>
      </c>
      <c r="P19" s="6" t="str">
        <f>CONCATENATE("dist_",A19)</f>
        <v>dist_cVaccine_Admin</v>
      </c>
      <c r="Q19" s="6"/>
      <c r="R19" s="7">
        <f>IF(Table1[[#This Row],[dist]]="Gamma",Table1[[#This Row],[mean]]^2/Table1[[#This Row],[SD]]^2,IF(Table1[[#This Row],[dist]]="Beta",(((Table1[[#This Row],[mean]])^2)*(1-(Table1[[#This Row],[mean]]))/((Table1[[#This Row],[SD]])^2)-(Table1[[#This Row],[mean]])),0))</f>
        <v>47.999633710814649</v>
      </c>
      <c r="S19" s="7">
        <f>IF(Table1[[#This Row],[dist]]="Gamma",Table1[[#This Row],[mean]]/Table1[[#This Row],[SD]]^2,IF(Table1[[#This Row],[dist]]="Beta",((1-(Table1[[#This Row],[mean]]))*(((1-(Table1[[#This Row],[mean]]))*(Table1[[#This Row],[mean]]))/((Table1[[#This Row],[SD]])^2)-1)),0))</f>
        <v>1.913860993254173</v>
      </c>
      <c r="T19" s="6"/>
      <c r="U19" s="6">
        <v>0</v>
      </c>
    </row>
    <row r="20" spans="1:21" x14ac:dyDescent="0.2">
      <c r="A20" t="s">
        <v>188</v>
      </c>
      <c r="B20" t="s">
        <v>189</v>
      </c>
      <c r="C20" t="s">
        <v>173</v>
      </c>
      <c r="D20" t="s">
        <v>190</v>
      </c>
      <c r="E20">
        <v>1</v>
      </c>
      <c r="F20">
        <v>10</v>
      </c>
      <c r="G20" t="s">
        <v>272</v>
      </c>
      <c r="I20">
        <v>2.2000000000000002</v>
      </c>
      <c r="J20" s="6" t="str">
        <f>IF(ISBLANK(Table1[[#This Row],[newMean]]),Table1[[#This Row],[Root Definition]],Table1[[#This Row],[newMean]])</f>
        <v>3.52</v>
      </c>
      <c r="K20" s="6">
        <f>IF(ISBLANK(Table1[[#This Row],[newSD]]),(Table1[[#This Row],[High]]-Table1[[#This Row],[Root Definition]])/2,Table1[[#This Row],[newSD]])</f>
        <v>2.2000000000000002</v>
      </c>
      <c r="L20" s="13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7.4733869319918336E-2</v>
      </c>
      <c r="M20" s="13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0.98640533001078512</v>
      </c>
      <c r="N20" s="14">
        <v>22</v>
      </c>
      <c r="O20" t="str">
        <f>G20</f>
        <v>Gamma</v>
      </c>
      <c r="P20" t="str">
        <f>CONCATENATE("dist_",A20)</f>
        <v>dist_daysAOM</v>
      </c>
      <c r="R20" s="7">
        <f>IF(Table1[[#This Row],[dist]]="Gamma",Table1[[#This Row],[mean]]^2/Table1[[#This Row],[SD]]^2,IF(Table1[[#This Row],[dist]]="Beta",(((Table1[[#This Row],[mean]])^2)*(1-(Table1[[#This Row],[mean]]))/((Table1[[#This Row],[SD]])^2)-(Table1[[#This Row],[mean]])),0))</f>
        <v>2.5599999999999996</v>
      </c>
      <c r="S20" s="7">
        <f>IF(Table1[[#This Row],[dist]]="Gamma",Table1[[#This Row],[mean]]/Table1[[#This Row],[SD]]^2,IF(Table1[[#This Row],[dist]]="Beta",((1-(Table1[[#This Row],[mean]]))*(((1-(Table1[[#This Row],[mean]]))*(Table1[[#This Row],[mean]]))/((Table1[[#This Row],[SD]])^2)-1)),0))</f>
        <v>0.72727272727272718</v>
      </c>
      <c r="U20">
        <v>0</v>
      </c>
    </row>
    <row r="21" spans="1:21" x14ac:dyDescent="0.2">
      <c r="A21" t="s">
        <v>182</v>
      </c>
      <c r="B21" t="s">
        <v>183</v>
      </c>
      <c r="C21" t="s">
        <v>173</v>
      </c>
      <c r="D21" t="s">
        <v>184</v>
      </c>
      <c r="E21">
        <v>1</v>
      </c>
      <c r="F21">
        <v>10</v>
      </c>
      <c r="G21" t="s">
        <v>272</v>
      </c>
      <c r="I21">
        <v>2.6</v>
      </c>
      <c r="J21" s="6" t="str">
        <f>IF(ISBLANK(Table1[[#This Row],[newMean]]),Table1[[#This Row],[Root Definition]],Table1[[#This Row],[newMean]])</f>
        <v>3</v>
      </c>
      <c r="K21" s="6">
        <f>IF(ISBLANK(Table1[[#This Row],[newSD]]),(Table1[[#This Row],[High]]-Table1[[#This Row],[Root Definition]])/2,Table1[[#This Row],[newSD]])</f>
        <v>2.6</v>
      </c>
      <c r="L21" s="13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0.22290389513992506</v>
      </c>
      <c r="M21" s="13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0.97688030731083941</v>
      </c>
      <c r="N21" s="14">
        <v>23</v>
      </c>
      <c r="O21" t="str">
        <f>G21</f>
        <v>Gamma</v>
      </c>
      <c r="P21" t="str">
        <f>CONCATENATE("dist_",A21)</f>
        <v>dist_daysFlu</v>
      </c>
      <c r="R21" s="7">
        <f>IF(Table1[[#This Row],[dist]]="Gamma",Table1[[#This Row],[mean]]^2/Table1[[#This Row],[SD]]^2,IF(Table1[[#This Row],[dist]]="Beta",(((Table1[[#This Row],[mean]])^2)*(1-(Table1[[#This Row],[mean]]))/((Table1[[#This Row],[SD]])^2)-(Table1[[#This Row],[mean]])),0))</f>
        <v>1.331360946745562</v>
      </c>
      <c r="S21" s="7">
        <f>IF(Table1[[#This Row],[dist]]="Gamma",Table1[[#This Row],[mean]]/Table1[[#This Row],[SD]]^2,IF(Table1[[#This Row],[dist]]="Beta",((1-(Table1[[#This Row],[mean]]))*(((1-(Table1[[#This Row],[mean]]))*(Table1[[#This Row],[mean]]))/((Table1[[#This Row],[SD]])^2)-1)),0))</f>
        <v>0.44378698224852065</v>
      </c>
      <c r="U21" s="6">
        <v>0</v>
      </c>
    </row>
    <row r="22" spans="1:21" x14ac:dyDescent="0.2">
      <c r="A22" t="s">
        <v>201</v>
      </c>
      <c r="B22" t="s">
        <v>202</v>
      </c>
      <c r="C22" t="s">
        <v>173</v>
      </c>
      <c r="D22" t="s">
        <v>203</v>
      </c>
      <c r="E22">
        <v>1</v>
      </c>
      <c r="F22">
        <v>7</v>
      </c>
      <c r="G22" t="s">
        <v>272</v>
      </c>
      <c r="I22" s="15"/>
      <c r="J22" s="6" t="str">
        <f>IF(ISBLANK(Table1[[#This Row],[newMean]]),Table1[[#This Row],[Root Definition]],Table1[[#This Row],[newMean]])</f>
        <v>2.2</v>
      </c>
      <c r="K22" s="6">
        <f>IF(ISBLANK(Table1[[#This Row],[newSD]]),(Table1[[#This Row],[High]]-Table1[[#This Row],[Root Definition]])/2,Table1[[#This Row],[newSD]])</f>
        <v>2.4</v>
      </c>
      <c r="L22" s="13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0.39939358970622912</v>
      </c>
      <c r="M22" s="13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0.94976052148227996</v>
      </c>
      <c r="N22" s="14">
        <v>24</v>
      </c>
      <c r="O22" t="str">
        <f>G22</f>
        <v>Gamma</v>
      </c>
      <c r="P22" t="str">
        <f>CONCATENATE("dist_",A22)</f>
        <v>dist_daysHosp_Flu</v>
      </c>
      <c r="R22" s="7">
        <f>IF(Table1[[#This Row],[dist]]="Gamma",Table1[[#This Row],[mean]]^2/Table1[[#This Row],[SD]]^2,IF(Table1[[#This Row],[dist]]="Beta",(((Table1[[#This Row],[mean]])^2)*(1-(Table1[[#This Row],[mean]]))/((Table1[[#This Row],[SD]])^2)-(Table1[[#This Row],[mean]])),0))</f>
        <v>0.8402777777777779</v>
      </c>
      <c r="S22" s="7">
        <f>IF(Table1[[#This Row],[dist]]="Gamma",Table1[[#This Row],[mean]]/Table1[[#This Row],[SD]]^2,IF(Table1[[#This Row],[dist]]="Beta",((1-(Table1[[#This Row],[mean]]))*(((1-(Table1[[#This Row],[mean]]))*(Table1[[#This Row],[mean]]))/((Table1[[#This Row],[SD]])^2)-1)),0))</f>
        <v>0.38194444444444448</v>
      </c>
      <c r="U22" s="6">
        <v>0</v>
      </c>
    </row>
    <row r="23" spans="1:21" x14ac:dyDescent="0.2">
      <c r="A23" t="s">
        <v>211</v>
      </c>
      <c r="B23" t="s">
        <v>212</v>
      </c>
      <c r="C23" t="s">
        <v>173</v>
      </c>
      <c r="D23" t="s">
        <v>213</v>
      </c>
      <c r="E23">
        <v>1</v>
      </c>
      <c r="F23">
        <v>10</v>
      </c>
      <c r="G23" t="s">
        <v>272</v>
      </c>
      <c r="I23">
        <v>2.8</v>
      </c>
      <c r="J23" s="6" t="str">
        <f>IF(ISBLANK(Table1[[#This Row],[newMean]]),Table1[[#This Row],[Root Definition]],Table1[[#This Row],[newMean]])</f>
        <v>2.8</v>
      </c>
      <c r="K23" s="6">
        <f>IF(ISBLANK(Table1[[#This Row],[newSD]]),(Table1[[#This Row],[High]]-Table1[[#This Row],[Root Definition]])/2,Table1[[#This Row],[newSD]])</f>
        <v>2.8</v>
      </c>
      <c r="L23" s="13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0.3003274626248697</v>
      </c>
      <c r="M23" s="13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0.97188434025102799</v>
      </c>
      <c r="N23" s="14">
        <v>25</v>
      </c>
      <c r="O23" t="str">
        <f>G23</f>
        <v>Gamma</v>
      </c>
      <c r="P23" t="str">
        <f>CONCATENATE("dist_",A23)</f>
        <v>dist_daysHosp_LRI</v>
      </c>
      <c r="R23" s="7">
        <f>IF(Table1[[#This Row],[dist]]="Gamma",Table1[[#This Row],[mean]]^2/Table1[[#This Row],[SD]]^2,IF(Table1[[#This Row],[dist]]="Beta",(((Table1[[#This Row],[mean]])^2)*(1-(Table1[[#This Row],[mean]]))/((Table1[[#This Row],[SD]])^2)-(Table1[[#This Row],[mean]])),0))</f>
        <v>1</v>
      </c>
      <c r="S23" s="7">
        <f>IF(Table1[[#This Row],[dist]]="Gamma",Table1[[#This Row],[mean]]/Table1[[#This Row],[SD]]^2,IF(Table1[[#This Row],[dist]]="Beta",((1-(Table1[[#This Row],[mean]]))*(((1-(Table1[[#This Row],[mean]]))*(Table1[[#This Row],[mean]]))/((Table1[[#This Row],[SD]])^2)-1)),0))</f>
        <v>0.35714285714285715</v>
      </c>
      <c r="U23" s="6">
        <v>0</v>
      </c>
    </row>
    <row r="24" spans="1:21" x14ac:dyDescent="0.2">
      <c r="A24" t="s">
        <v>191</v>
      </c>
      <c r="B24" t="s">
        <v>192</v>
      </c>
      <c r="C24" t="s">
        <v>173</v>
      </c>
      <c r="D24" t="s">
        <v>193</v>
      </c>
      <c r="E24">
        <v>1</v>
      </c>
      <c r="F24">
        <v>10</v>
      </c>
      <c r="G24" t="s">
        <v>272</v>
      </c>
      <c r="I24">
        <v>2.5</v>
      </c>
      <c r="J24" s="6" t="str">
        <f>IF(ISBLANK(Table1[[#This Row],[newMean]]),Table1[[#This Row],[Root Definition]],Table1[[#This Row],[newMean]])</f>
        <v>3.33</v>
      </c>
      <c r="K24" s="6">
        <f>IF(ISBLANK(Table1[[#This Row],[newSD]]),(Table1[[#This Row],[High]]-Table1[[#This Row],[Root Definition]])/2,Table1[[#This Row],[newSD]])</f>
        <v>2.5</v>
      </c>
      <c r="L24" s="13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0.14310819343100076</v>
      </c>
      <c r="M24" s="13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0.9781458686933644</v>
      </c>
      <c r="N24" s="14">
        <v>26</v>
      </c>
      <c r="O24" t="str">
        <f>G24</f>
        <v>Gamma</v>
      </c>
      <c r="P24" t="str">
        <f>CONCATENATE("dist_",A24)</f>
        <v>dist_daysLRI</v>
      </c>
      <c r="R24" s="7">
        <f>IF(Table1[[#This Row],[dist]]="Gamma",Table1[[#This Row],[mean]]^2/Table1[[#This Row],[SD]]^2,IF(Table1[[#This Row],[dist]]="Beta",(((Table1[[#This Row],[mean]])^2)*(1-(Table1[[#This Row],[mean]]))/((Table1[[#This Row],[SD]])^2)-(Table1[[#This Row],[mean]])),0))</f>
        <v>1.774224</v>
      </c>
      <c r="S24" s="7">
        <f>IF(Table1[[#This Row],[dist]]="Gamma",Table1[[#This Row],[mean]]/Table1[[#This Row],[SD]]^2,IF(Table1[[#This Row],[dist]]="Beta",((1-(Table1[[#This Row],[mean]]))*(((1-(Table1[[#This Row],[mean]]))*(Table1[[#This Row],[mean]]))/((Table1[[#This Row],[SD]])^2)-1)),0))</f>
        <v>0.53280000000000005</v>
      </c>
      <c r="U24" s="6">
        <v>0</v>
      </c>
    </row>
    <row r="25" spans="1:21" x14ac:dyDescent="0.2">
      <c r="A25" t="s">
        <v>179</v>
      </c>
      <c r="B25" t="s">
        <v>180</v>
      </c>
      <c r="C25" t="s">
        <v>43</v>
      </c>
      <c r="D25" t="s">
        <v>181</v>
      </c>
      <c r="E25">
        <v>6.39</v>
      </c>
      <c r="F25">
        <v>19.170000000000002</v>
      </c>
      <c r="G25" t="s">
        <v>272</v>
      </c>
      <c r="J25" s="6" t="str">
        <f>IF(ISBLANK(Table1[[#This Row],[newMean]]),Table1[[#This Row],[Root Definition]],Table1[[#This Row],[newMean]])</f>
        <v>12.78</v>
      </c>
      <c r="K25" s="6">
        <f>IF(ISBLANK(Table1[[#This Row],[newSD]]),(Table1[[#This Row],[High]]-Table1[[#This Row],[Root Definition]])/2,Table1[[#This Row],[newSD]])</f>
        <v>3.1950000000000012</v>
      </c>
      <c r="L25" s="13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8.2310109868449291E-3</v>
      </c>
      <c r="M25" s="13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0.96559990594042511</v>
      </c>
      <c r="N25" s="14">
        <v>27</v>
      </c>
      <c r="O25" t="str">
        <f>G25</f>
        <v>Gamma</v>
      </c>
      <c r="P25" t="str">
        <f>CONCATENATE("dist_",A25)</f>
        <v>dist_daysWheeze</v>
      </c>
      <c r="R25" s="7">
        <f>IF(Table1[[#This Row],[dist]]="Gamma",Table1[[#This Row],[mean]]^2/Table1[[#This Row],[SD]]^2,IF(Table1[[#This Row],[dist]]="Beta",(((Table1[[#This Row],[mean]])^2)*(1-(Table1[[#This Row],[mean]]))/((Table1[[#This Row],[SD]])^2)-(Table1[[#This Row],[mean]])),0))</f>
        <v>15.999999999999986</v>
      </c>
      <c r="S25" s="7">
        <f>IF(Table1[[#This Row],[dist]]="Gamma",Table1[[#This Row],[mean]]/Table1[[#This Row],[SD]]^2,IF(Table1[[#This Row],[dist]]="Beta",((1-(Table1[[#This Row],[mean]]))*(((1-(Table1[[#This Row],[mean]]))*(Table1[[#This Row],[mean]]))/((Table1[[#This Row],[SD]])^2)-1)),0))</f>
        <v>1.2519561815336453</v>
      </c>
      <c r="U25" s="6">
        <v>0</v>
      </c>
    </row>
    <row r="26" spans="1:21" hidden="1" x14ac:dyDescent="0.2">
      <c r="A26" s="2" t="s">
        <v>17</v>
      </c>
      <c r="B26" s="2" t="s">
        <v>18</v>
      </c>
      <c r="C26" s="2" t="s">
        <v>13</v>
      </c>
      <c r="D26" s="2" t="s">
        <v>19</v>
      </c>
      <c r="E26" s="2">
        <v>0</v>
      </c>
      <c r="F26" s="2">
        <v>0.03</v>
      </c>
      <c r="G26" s="2" t="s">
        <v>286</v>
      </c>
      <c r="H26" s="3"/>
      <c r="I26" s="3"/>
      <c r="J26" s="3" t="str">
        <f>IF(ISBLANK(Table1[[#This Row],[newMean]]),Table1[[#This Row],[Root Definition]],Table1[[#This Row],[newMean]])</f>
        <v>0.03</v>
      </c>
      <c r="K26" s="3"/>
      <c r="L26" s="8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0</v>
      </c>
      <c r="M26" s="9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</v>
      </c>
      <c r="N26" s="5"/>
      <c r="O26" s="3"/>
      <c r="P26" s="3"/>
      <c r="Q26" s="3"/>
      <c r="R26" s="3"/>
      <c r="S26" s="3"/>
      <c r="T26" s="3"/>
      <c r="U26" s="3"/>
    </row>
    <row r="27" spans="1:21" x14ac:dyDescent="0.2">
      <c r="A27" s="3" t="s">
        <v>117</v>
      </c>
      <c r="B27" s="3" t="s">
        <v>118</v>
      </c>
      <c r="C27" s="3" t="s">
        <v>119</v>
      </c>
      <c r="D27" s="3" t="s">
        <v>120</v>
      </c>
      <c r="E27" s="3">
        <v>0</v>
      </c>
      <c r="F27" s="3">
        <v>2.7399999999999998E-3</v>
      </c>
      <c r="G27" s="3" t="s">
        <v>281</v>
      </c>
      <c r="H27" s="3"/>
      <c r="I27" s="3"/>
      <c r="J27" s="6" t="str">
        <f>IF(ISBLANK(Table1[[#This Row],[newMean]]),Table1[[#This Row],[Root Definition]],Table1[[#This Row],[newMean]])</f>
        <v>0</v>
      </c>
      <c r="K27" s="6">
        <f>IF(I27&gt;0,I27,(F27-D27)/2)</f>
        <v>1.3699999999999999E-3</v>
      </c>
      <c r="L27" s="13" t="e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#NUM!</v>
      </c>
      <c r="M27" s="13" t="e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#NUM!</v>
      </c>
      <c r="N27" s="14">
        <v>3</v>
      </c>
      <c r="O27" s="6" t="str">
        <f>G27</f>
        <v>Beta</v>
      </c>
      <c r="P27" s="6" t="str">
        <f>CONCATENATE("dist_",A27)</f>
        <v>dist_duAE_Other</v>
      </c>
      <c r="Q27" s="3"/>
      <c r="R27" s="7">
        <f>IF(Table1[[#This Row],[dist]]="Gamma",Table1[[#This Row],[mean]]^2/Table1[[#This Row],[SD]]^2,IF(Table1[[#This Row],[dist]]="Beta",(((Table1[[#This Row],[mean]])^2)*(1-(Table1[[#This Row],[mean]]))/((Table1[[#This Row],[SD]])^2)-(Table1[[#This Row],[mean]])),0))</f>
        <v>0</v>
      </c>
      <c r="S27" s="7">
        <f>IF(Table1[[#This Row],[dist]]="Gamma",Table1[[#This Row],[mean]]/Table1[[#This Row],[SD]]^2,IF(Table1[[#This Row],[dist]]="Beta",((1-(Table1[[#This Row],[mean]]))*(((1-(Table1[[#This Row],[mean]]))*(Table1[[#This Row],[mean]]))/((Table1[[#This Row],[SD]])^2)-1)),0))</f>
        <v>-1</v>
      </c>
      <c r="T27" s="3"/>
      <c r="U27" s="6">
        <v>0</v>
      </c>
    </row>
    <row r="28" spans="1:21" hidden="1" x14ac:dyDescent="0.2">
      <c r="A28" s="6" t="s">
        <v>162</v>
      </c>
      <c r="B28" s="6" t="s">
        <v>163</v>
      </c>
      <c r="C28" s="6" t="s">
        <v>13</v>
      </c>
      <c r="D28" s="6" t="s">
        <v>164</v>
      </c>
      <c r="E28" s="6">
        <v>0</v>
      </c>
      <c r="F28" s="6">
        <v>5.2170410958904114E-3</v>
      </c>
      <c r="G28" s="6"/>
      <c r="H28" s="6"/>
      <c r="I28" s="6"/>
      <c r="J28" s="6" t="str">
        <f>IF(ISBLANK(Table1[[#This Row],[newMean]]),Table1[[#This Row],[Root Definition]],Table1[[#This Row],[newMean]])</f>
        <v>(1-uWheeze) * (daysWheeze/365)</v>
      </c>
      <c r="K28" s="6"/>
      <c r="L28" s="8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0</v>
      </c>
      <c r="M28" s="9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</v>
      </c>
      <c r="N28" s="4"/>
      <c r="O28" s="6"/>
      <c r="P28" s="6"/>
      <c r="Q28" s="6"/>
      <c r="R28" s="6"/>
      <c r="S28" s="6"/>
      <c r="T28" s="6"/>
      <c r="U28" s="6"/>
    </row>
    <row r="29" spans="1:21" s="3" customFormat="1" hidden="1" x14ac:dyDescent="0.2">
      <c r="A29" t="s">
        <v>32</v>
      </c>
      <c r="B29" t="s">
        <v>33</v>
      </c>
      <c r="C29" t="s">
        <v>13</v>
      </c>
      <c r="D29" t="s">
        <v>34</v>
      </c>
      <c r="E29">
        <v>0</v>
      </c>
      <c r="F29">
        <v>4.262575342465753E-3</v>
      </c>
      <c r="G29"/>
      <c r="H29"/>
      <c r="I29"/>
      <c r="J29" s="6" t="str">
        <f>IF(ISBLANK(Table1[[#This Row],[newMean]]),Table1[[#This Row],[Root Definition]],Table1[[#This Row],[newMean]])</f>
        <v>(1-uFlu) * (daysAOM/365)</v>
      </c>
      <c r="K29"/>
      <c r="L29" s="8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0</v>
      </c>
      <c r="M29" s="9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</v>
      </c>
      <c r="N29" s="4"/>
      <c r="O29"/>
      <c r="P29"/>
      <c r="Q29"/>
      <c r="R29"/>
      <c r="S29"/>
      <c r="T29"/>
      <c r="U29"/>
    </row>
    <row r="30" spans="1:21" x14ac:dyDescent="0.2">
      <c r="A30" t="s">
        <v>99</v>
      </c>
      <c r="B30" t="s">
        <v>100</v>
      </c>
      <c r="C30" t="s">
        <v>101</v>
      </c>
      <c r="D30" t="s">
        <v>102</v>
      </c>
      <c r="E30">
        <v>25.5</v>
      </c>
      <c r="F30">
        <v>35.5</v>
      </c>
      <c r="G30" t="s">
        <v>272</v>
      </c>
      <c r="J30" s="6" t="str">
        <f>IF(ISBLANK(Table1[[#This Row],[newMean]]),Table1[[#This Row],[Root Definition]],Table1[[#This Row],[newMean]])</f>
        <v>30.5</v>
      </c>
      <c r="K30" s="6">
        <f>IF(ISBLANK(Table1[[#This Row],[newSD]]),(Table1[[#This Row],[High]]-Table1[[#This Row],[Root Definition]])/2,Table1[[#This Row],[newSD]])</f>
        <v>2.5</v>
      </c>
      <c r="L30" s="13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1.8157508393821464E-2</v>
      </c>
      <c r="M30" s="13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0.97301474186692394</v>
      </c>
      <c r="N30" s="14">
        <v>28</v>
      </c>
      <c r="O30" t="str">
        <f>G30</f>
        <v>Gamma</v>
      </c>
      <c r="P30" t="str">
        <f>CONCATENATE("dist_",A30)</f>
        <v>dist_duDeath</v>
      </c>
      <c r="R30" s="7">
        <f>IF(Table1[[#This Row],[dist]]="Gamma",Table1[[#This Row],[mean]]^2/Table1[[#This Row],[SD]]^2,IF(Table1[[#This Row],[dist]]="Beta",(((Table1[[#This Row],[mean]])^2)*(1-(Table1[[#This Row],[mean]]))/((Table1[[#This Row],[SD]])^2)-(Table1[[#This Row],[mean]])),0))</f>
        <v>148.84</v>
      </c>
      <c r="S30" s="7">
        <f>IF(Table1[[#This Row],[dist]]="Gamma",Table1[[#This Row],[mean]]/Table1[[#This Row],[SD]]^2,IF(Table1[[#This Row],[dist]]="Beta",((1-(Table1[[#This Row],[mean]]))*(((1-(Table1[[#This Row],[mean]]))*(Table1[[#This Row],[mean]]))/((Table1[[#This Row],[SD]])^2)-1)),0))</f>
        <v>4.88</v>
      </c>
      <c r="U30" s="6">
        <v>0</v>
      </c>
    </row>
    <row r="31" spans="1:21" hidden="1" x14ac:dyDescent="0.2">
      <c r="A31" t="s">
        <v>20</v>
      </c>
      <c r="B31" t="s">
        <v>21</v>
      </c>
      <c r="C31" t="s">
        <v>13</v>
      </c>
      <c r="D31" t="s">
        <v>22</v>
      </c>
      <c r="E31">
        <v>0</v>
      </c>
      <c r="F31">
        <v>3.6328767123287664E-3</v>
      </c>
      <c r="J31" s="6" t="str">
        <f>IF(ISBLANK(Table1[[#This Row],[newMean]]),Table1[[#This Row],[Root Definition]],Table1[[#This Row],[newMean]])</f>
        <v>(1-uFlu) * (daysFlu/365)</v>
      </c>
      <c r="L31" s="8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0</v>
      </c>
      <c r="M31" s="9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</v>
      </c>
      <c r="N31" s="4"/>
      <c r="R31" s="6"/>
      <c r="S31" s="6"/>
    </row>
    <row r="32" spans="1:21" x14ac:dyDescent="0.2">
      <c r="A32" t="s">
        <v>103</v>
      </c>
      <c r="B32" t="s">
        <v>104</v>
      </c>
      <c r="C32" t="s">
        <v>105</v>
      </c>
      <c r="D32">
        <f>2.8/365</f>
        <v>7.6712328767123287E-3</v>
      </c>
      <c r="E32">
        <v>2.7399999999999998E-3</v>
      </c>
      <c r="F32">
        <v>2.7397000000000001E-2</v>
      </c>
      <c r="G32" t="s">
        <v>272</v>
      </c>
      <c r="I32">
        <v>7.0000000000000001E-3</v>
      </c>
      <c r="J32" s="6">
        <f>IF(ISBLANK(Table1[[#This Row],[newMean]]),Table1[[#This Row],[Root Definition]],Table1[[#This Row],[newMean]])</f>
        <v>7.6712328767123287E-3</v>
      </c>
      <c r="K32" s="6">
        <f>IF(ISBLANK(Table1[[#This Row],[newSD]]),(Table1[[#This Row],[High]]-Table1[[#This Row],[Root Definition]])/2,Table1[[#This Row],[newSD]])</f>
        <v>7.0000000000000001E-3</v>
      </c>
      <c r="L32" s="13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0.26161728857050554</v>
      </c>
      <c r="M32" s="13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0.97916679431154174</v>
      </c>
      <c r="N32" s="14">
        <v>29</v>
      </c>
      <c r="O32" t="str">
        <f>G32</f>
        <v>Gamma</v>
      </c>
      <c r="P32" t="str">
        <f>CONCATENATE("dist_",A32)</f>
        <v>dist_duHosp</v>
      </c>
      <c r="R32" s="7">
        <f>IF(Table1[[#This Row],[dist]]="Gamma",Table1[[#This Row],[mean]]^2/Table1[[#This Row],[SD]]^2,IF(Table1[[#This Row],[dist]]="Beta",(((Table1[[#This Row],[mean]])^2)*(1-(Table1[[#This Row],[mean]]))/((Table1[[#This Row],[SD]])^2)-(Table1[[#This Row],[mean]])),0))</f>
        <v>1.2009757928316755</v>
      </c>
      <c r="S32" s="7">
        <f>IF(Table1[[#This Row],[dist]]="Gamma",Table1[[#This Row],[mean]]/Table1[[#This Row],[SD]]^2,IF(Table1[[#This Row],[dist]]="Beta",((1-(Table1[[#This Row],[mean]]))*(((1-(Table1[[#This Row],[mean]]))*(Table1[[#This Row],[mean]]))/((Table1[[#This Row],[SD]])^2)-1)),0))</f>
        <v>156.55577299412914</v>
      </c>
      <c r="U32" s="6">
        <v>0</v>
      </c>
    </row>
    <row r="33" spans="1:21" hidden="1" x14ac:dyDescent="0.2">
      <c r="A33" t="s">
        <v>29</v>
      </c>
      <c r="B33" t="s">
        <v>30</v>
      </c>
      <c r="C33" t="s">
        <v>13</v>
      </c>
      <c r="D33" t="s">
        <v>31</v>
      </c>
      <c r="E33">
        <v>0</v>
      </c>
      <c r="F33">
        <v>4.0324931506849314E-3</v>
      </c>
      <c r="I33" s="6"/>
      <c r="J33" s="6" t="str">
        <f>IF(ISBLANK(Table1[[#This Row],[newMean]]),Table1[[#This Row],[Root Definition]],Table1[[#This Row],[newMean]])</f>
        <v>(1-uFlu) * (daysLRI/365)</v>
      </c>
      <c r="L33" s="10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0</v>
      </c>
      <c r="M33" s="11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</v>
      </c>
      <c r="N33" s="4"/>
      <c r="R33" s="6"/>
      <c r="S33" s="6"/>
    </row>
    <row r="34" spans="1:21" s="3" customFormat="1" x14ac:dyDescent="0.2">
      <c r="A34" t="s">
        <v>236</v>
      </c>
      <c r="B34" t="s">
        <v>237</v>
      </c>
      <c r="C34" t="s">
        <v>238</v>
      </c>
      <c r="D34" t="s">
        <v>239</v>
      </c>
      <c r="E34">
        <v>0.69</v>
      </c>
      <c r="F34">
        <v>0.91</v>
      </c>
      <c r="G34" t="s">
        <v>281</v>
      </c>
      <c r="H34"/>
      <c r="I34">
        <v>4.3999999999999997E-2</v>
      </c>
      <c r="J34" s="6" t="str">
        <f>IF(ISBLANK(Table1[[#This Row],[newMean]]),Table1[[#This Row],[Root Definition]],Table1[[#This Row],[newMean]])</f>
        <v>0.83</v>
      </c>
      <c r="K34" s="6">
        <f>IF(ISBLANK(Table1[[#This Row],[newSD]]),(Table1[[#This Row],[High]]-Table1[[#This Row],[Root Definition]])/2,Table1[[#This Row],[newSD]])</f>
        <v>4.3999999999999997E-2</v>
      </c>
      <c r="L34" s="13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2.8073403315664203E-3</v>
      </c>
      <c r="M34" s="13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0.98017559723489334</v>
      </c>
      <c r="N34" s="14">
        <v>30</v>
      </c>
      <c r="O34" t="str">
        <f>G34</f>
        <v>Beta</v>
      </c>
      <c r="P34" t="str">
        <f>CONCATENATE("dist_",A34)</f>
        <v>dist_eff_LAIV</v>
      </c>
      <c r="Q34"/>
      <c r="R34" s="7">
        <f>IF(Table1[[#This Row],[dist]]="Gamma",Table1[[#This Row],[mean]]^2/Table1[[#This Row],[SD]]^2,IF(Table1[[#This Row],[dist]]="Beta",(((Table1[[#This Row],[mean]])^2)*(1-(Table1[[#This Row],[mean]]))/((Table1[[#This Row],[SD]])^2)-(Table1[[#This Row],[mean]])),0))</f>
        <v>59.66225206611572</v>
      </c>
      <c r="S34" s="7">
        <f>IF(Table1[[#This Row],[dist]]="Gamma",Table1[[#This Row],[mean]]/Table1[[#This Row],[SD]]^2,IF(Table1[[#This Row],[dist]]="Beta",((1-(Table1[[#This Row],[mean]]))*(((1-(Table1[[#This Row],[mean]]))*(Table1[[#This Row],[mean]]))/((Table1[[#This Row],[SD]])^2)-1)),0))</f>
        <v>12.219979338842982</v>
      </c>
      <c r="T34"/>
      <c r="U34" s="6">
        <v>0</v>
      </c>
    </row>
    <row r="35" spans="1:21" s="3" customFormat="1" x14ac:dyDescent="0.2">
      <c r="A35" s="6" t="s">
        <v>240</v>
      </c>
      <c r="B35" s="6" t="s">
        <v>241</v>
      </c>
      <c r="C35" s="6" t="s">
        <v>238</v>
      </c>
      <c r="D35" s="6" t="s">
        <v>242</v>
      </c>
      <c r="E35" s="6">
        <v>0.34</v>
      </c>
      <c r="F35" s="6">
        <v>0.81</v>
      </c>
      <c r="G35" s="6" t="s">
        <v>281</v>
      </c>
      <c r="H35" s="6"/>
      <c r="I35" s="6">
        <v>0.109</v>
      </c>
      <c r="J35" s="6" t="str">
        <f>IF(ISBLANK(Table1[[#This Row],[newMean]]),Table1[[#This Row],[Root Definition]],Table1[[#This Row],[newMean]])</f>
        <v>0.64</v>
      </c>
      <c r="K35" s="6">
        <f>IF(ISBLANK(Table1[[#This Row],[newSD]]),(Table1[[#This Row],[High]]-Table1[[#This Row],[Root Definition]])/2,Table1[[#This Row],[newSD]])</f>
        <v>0.109</v>
      </c>
      <c r="L35" s="13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4.2781669937504334E-3</v>
      </c>
      <c r="M35" s="13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0.94941340907727478</v>
      </c>
      <c r="N35" s="14">
        <v>31</v>
      </c>
      <c r="O35" s="6" t="str">
        <f>G35</f>
        <v>Beta</v>
      </c>
      <c r="P35" s="6" t="str">
        <f>CONCATENATE("dist_",A35)</f>
        <v>dist_eff_TIV</v>
      </c>
      <c r="Q35" s="6"/>
      <c r="R35" s="7">
        <f>IF(Table1[[#This Row],[dist]]="Gamma",Table1[[#This Row],[mean]]^2/Table1[[#This Row],[SD]]^2,IF(Table1[[#This Row],[dist]]="Beta",(((Table1[[#This Row],[mean]])^2)*(1-(Table1[[#This Row],[mean]]))/((Table1[[#This Row],[SD]])^2)-(Table1[[#This Row],[mean]])),0))</f>
        <v>11.771076508711388</v>
      </c>
      <c r="S35" s="7">
        <f>IF(Table1[[#This Row],[dist]]="Gamma",Table1[[#This Row],[mean]]/Table1[[#This Row],[SD]]^2,IF(Table1[[#This Row],[dist]]="Beta",((1-(Table1[[#This Row],[mean]]))*(((1-(Table1[[#This Row],[mean]]))*(Table1[[#This Row],[mean]]))/((Table1[[#This Row],[SD]])^2)-1)),0))</f>
        <v>6.6212305361501551</v>
      </c>
      <c r="T35" s="6"/>
      <c r="U35" s="6">
        <v>0</v>
      </c>
    </row>
    <row r="36" spans="1:21" s="3" customFormat="1" x14ac:dyDescent="0.2">
      <c r="A36" s="3" t="s">
        <v>234</v>
      </c>
      <c r="B36" s="3" t="s">
        <v>235</v>
      </c>
      <c r="C36" s="3" t="s">
        <v>173</v>
      </c>
      <c r="D36" s="3" t="s">
        <v>231</v>
      </c>
      <c r="E36" s="3">
        <v>1</v>
      </c>
      <c r="F36" s="3">
        <v>3</v>
      </c>
      <c r="G36" s="3" t="s">
        <v>285</v>
      </c>
      <c r="J36" s="6" t="str">
        <f>IF(ISBLANK(Table1[[#This Row],[newMean]]),Table1[[#This Row],[Root Definition]],Table1[[#This Row],[newMean]])</f>
        <v>2</v>
      </c>
      <c r="K36" s="6">
        <f>IF(I36&gt;0,I36,(F36-D36)/2)</f>
        <v>0.5</v>
      </c>
      <c r="L36" s="13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0</v>
      </c>
      <c r="M36" s="13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</v>
      </c>
      <c r="N36" s="14">
        <v>5</v>
      </c>
      <c r="O36" s="6" t="str">
        <f>G36</f>
        <v>Poisson</v>
      </c>
      <c r="P36" s="6" t="str">
        <f>CONCATENATE("dist_",A36)</f>
        <v>dist_numVisits_AOM</v>
      </c>
      <c r="R36" s="7">
        <f>IF(Table1[[#This Row],[dist]]="Gamma",Table1[[#This Row],[mean]]^2/Table1[[#This Row],[SD]]^2,IF(Table1[[#This Row],[dist]]="Beta",(((Table1[[#This Row],[mean]])^2)*(1-(Table1[[#This Row],[mean]]))/((Table1[[#This Row],[SD]])^2)-(Table1[[#This Row],[mean]])),0))</f>
        <v>0</v>
      </c>
      <c r="S36" s="7">
        <f>IF(Table1[[#This Row],[dist]]="Gamma",Table1[[#This Row],[mean]]/Table1[[#This Row],[SD]]^2,IF(Table1[[#This Row],[dist]]="Beta",((1-(Table1[[#This Row],[mean]]))*(((1-(Table1[[#This Row],[mean]]))*(Table1[[#This Row],[mean]]))/((Table1[[#This Row],[SD]])^2)-1)),0))</f>
        <v>0</v>
      </c>
      <c r="U36" s="6">
        <v>0</v>
      </c>
    </row>
    <row r="37" spans="1:21" x14ac:dyDescent="0.2">
      <c r="A37" s="3" t="s">
        <v>218</v>
      </c>
      <c r="B37" s="3" t="s">
        <v>219</v>
      </c>
      <c r="C37" s="3" t="s">
        <v>173</v>
      </c>
      <c r="D37" s="3" t="s">
        <v>220</v>
      </c>
      <c r="E37" s="3">
        <v>1</v>
      </c>
      <c r="F37" s="3">
        <v>3</v>
      </c>
      <c r="G37" s="3" t="s">
        <v>285</v>
      </c>
      <c r="H37" s="3"/>
      <c r="I37" s="3"/>
      <c r="J37" s="6" t="str">
        <f>IF(ISBLANK(Table1[[#This Row],[newMean]]),Table1[[#This Row],[Root Definition]],Table1[[#This Row],[newMean]])</f>
        <v>1</v>
      </c>
      <c r="K37" s="6">
        <f>IF(I37&gt;0,I37,(F37-D37)/2)</f>
        <v>1</v>
      </c>
      <c r="L37" s="13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0</v>
      </c>
      <c r="M37" s="13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</v>
      </c>
      <c r="N37" s="14">
        <v>4</v>
      </c>
      <c r="O37" s="6" t="str">
        <f>G37</f>
        <v>Poisson</v>
      </c>
      <c r="P37" s="6" t="str">
        <f>CONCATENATE("dist_",A37)</f>
        <v>dist_numVisits_Flu</v>
      </c>
      <c r="Q37" s="3"/>
      <c r="R37" s="7">
        <f>IF(Table1[[#This Row],[dist]]="Gamma",Table1[[#This Row],[mean]]^2/Table1[[#This Row],[SD]]^2,IF(Table1[[#This Row],[dist]]="Beta",(((Table1[[#This Row],[mean]])^2)*(1-(Table1[[#This Row],[mean]]))/((Table1[[#This Row],[SD]])^2)-(Table1[[#This Row],[mean]])),0))</f>
        <v>0</v>
      </c>
      <c r="S37" s="7">
        <f>IF(Table1[[#This Row],[dist]]="Gamma",Table1[[#This Row],[mean]]/Table1[[#This Row],[SD]]^2,IF(Table1[[#This Row],[dist]]="Beta",((1-(Table1[[#This Row],[mean]]))*(((1-(Table1[[#This Row],[mean]]))*(Table1[[#This Row],[mean]]))/((Table1[[#This Row],[SD]])^2)-1)),0))</f>
        <v>0</v>
      </c>
      <c r="T37" s="3"/>
      <c r="U37" s="6">
        <v>0</v>
      </c>
    </row>
    <row r="38" spans="1:21" s="3" customFormat="1" x14ac:dyDescent="0.2">
      <c r="A38" s="3" t="s">
        <v>229</v>
      </c>
      <c r="B38" s="3" t="s">
        <v>230</v>
      </c>
      <c r="C38" s="3" t="s">
        <v>173</v>
      </c>
      <c r="D38" s="3" t="s">
        <v>231</v>
      </c>
      <c r="E38" s="3">
        <v>1</v>
      </c>
      <c r="F38" s="3">
        <v>3</v>
      </c>
      <c r="G38" s="3" t="s">
        <v>285</v>
      </c>
      <c r="J38" s="6" t="str">
        <f>IF(ISBLANK(Table1[[#This Row],[newMean]]),Table1[[#This Row],[Root Definition]],Table1[[#This Row],[newMean]])</f>
        <v>2</v>
      </c>
      <c r="K38" s="6">
        <f>IF(I38&gt;0,I38,(F38-D38)/2)</f>
        <v>0.5</v>
      </c>
      <c r="L38" s="13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0</v>
      </c>
      <c r="M38" s="13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</v>
      </c>
      <c r="N38" s="14">
        <v>9</v>
      </c>
      <c r="O38" s="6" t="str">
        <f>G38</f>
        <v>Poisson</v>
      </c>
      <c r="P38" s="6" t="str">
        <f>CONCATENATE("dist_",A38)</f>
        <v>dist_numVisits_LRI</v>
      </c>
      <c r="R38" s="7">
        <f>IF(Table1[[#This Row],[dist]]="Gamma",Table1[[#This Row],[mean]]^2/Table1[[#This Row],[SD]]^2,IF(Table1[[#This Row],[dist]]="Beta",(((Table1[[#This Row],[mean]])^2)*(1-(Table1[[#This Row],[mean]]))/((Table1[[#This Row],[SD]])^2)-(Table1[[#This Row],[mean]])),0))</f>
        <v>0</v>
      </c>
      <c r="S38" s="7">
        <f>IF(Table1[[#This Row],[dist]]="Gamma",Table1[[#This Row],[mean]]/Table1[[#This Row],[SD]]^2,IF(Table1[[#This Row],[dist]]="Beta",((1-(Table1[[#This Row],[mean]]))*(((1-(Table1[[#This Row],[mean]]))*(Table1[[#This Row],[mean]]))/((Table1[[#This Row],[SD]])^2)-1)),0))</f>
        <v>0</v>
      </c>
      <c r="U38" s="6">
        <v>0</v>
      </c>
    </row>
    <row r="39" spans="1:21" s="3" customFormat="1" x14ac:dyDescent="0.2">
      <c r="A39" s="2" t="s">
        <v>171</v>
      </c>
      <c r="B39" s="3" t="s">
        <v>172</v>
      </c>
      <c r="C39" s="3" t="s">
        <v>173</v>
      </c>
      <c r="D39" s="3">
        <f>0.5 + 0.278</f>
        <v>0.77800000000000002</v>
      </c>
      <c r="E39" s="3">
        <v>0.5</v>
      </c>
      <c r="F39" s="3">
        <v>0.95</v>
      </c>
      <c r="G39" s="3" t="s">
        <v>281</v>
      </c>
      <c r="J39" s="6">
        <f>IF(ISBLANK(Table1[[#This Row],[newMean]]),Table1[[#This Row],[Root Definition]],Table1[[#This Row],[newMean]])</f>
        <v>0.77800000000000002</v>
      </c>
      <c r="K39" s="6">
        <f>IF(I39&gt;0,I39,(F39-D39)/2)</f>
        <v>8.5999999999999965E-2</v>
      </c>
      <c r="L39" s="13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2.8535357792615528E-3</v>
      </c>
      <c r="M39" s="13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0.9962435702721415</v>
      </c>
      <c r="N39" s="14">
        <v>6</v>
      </c>
      <c r="O39" s="6" t="str">
        <f>G39</f>
        <v>Beta</v>
      </c>
      <c r="P39" s="6" t="str">
        <f>CONCATENATE("dist_",A39)</f>
        <v>dist_pAE_noWheeze_LAIV</v>
      </c>
      <c r="R39" s="7">
        <f>IF(Table1[[#This Row],[dist]]="Gamma",Table1[[#This Row],[mean]]^2/Table1[[#This Row],[SD]]^2,IF(Table1[[#This Row],[dist]]="Beta",(((Table1[[#This Row],[mean]])^2)*(1-(Table1[[#This Row],[mean]]))/((Table1[[#This Row],[SD]])^2)-(Table1[[#This Row],[mean]])),0))</f>
        <v>17.390340724716079</v>
      </c>
      <c r="S39" s="7">
        <f>IF(Table1[[#This Row],[dist]]="Gamma",Table1[[#This Row],[mean]]/Table1[[#This Row],[SD]]^2,IF(Table1[[#This Row],[dist]]="Beta",((1-(Table1[[#This Row],[mean]]))*(((1-(Table1[[#This Row],[mean]]))*(Table1[[#This Row],[mean]]))/((Table1[[#This Row],[SD]])^2)-1)),0))</f>
        <v>4.9622823147647415</v>
      </c>
      <c r="U39" s="6">
        <v>0</v>
      </c>
    </row>
    <row r="40" spans="1:21" x14ac:dyDescent="0.2">
      <c r="A40" s="3" t="s">
        <v>174</v>
      </c>
      <c r="B40" s="3" t="s">
        <v>175</v>
      </c>
      <c r="C40" s="3" t="s">
        <v>173</v>
      </c>
      <c r="D40" s="3">
        <f>0.412 + 0.338</f>
        <v>0.75</v>
      </c>
      <c r="E40" s="3">
        <v>0.5</v>
      </c>
      <c r="F40" s="3">
        <v>0.95</v>
      </c>
      <c r="G40" s="3" t="s">
        <v>281</v>
      </c>
      <c r="H40" s="3"/>
      <c r="I40" s="3"/>
      <c r="J40" s="6">
        <f>IF(ISBLANK(Table1[[#This Row],[newMean]]),Table1[[#This Row],[Root Definition]],Table1[[#This Row],[newMean]])</f>
        <v>0.75</v>
      </c>
      <c r="K40" s="6">
        <f>IF(I40&gt;0,I40,(F40-D40)/2)</f>
        <v>9.9999999999999978E-2</v>
      </c>
      <c r="L40" s="13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1.347114506110671E-2</v>
      </c>
      <c r="M40" s="13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0.99647773159579867</v>
      </c>
      <c r="N40" s="14">
        <v>12</v>
      </c>
      <c r="O40" s="6" t="str">
        <f>G40</f>
        <v>Beta</v>
      </c>
      <c r="P40" s="6" t="str">
        <f>CONCATENATE("dist_",A40)</f>
        <v>dist_pAE_noWheeze_TIV</v>
      </c>
      <c r="Q40" s="3"/>
      <c r="R40" s="7">
        <f>IF(Table1[[#This Row],[dist]]="Gamma",Table1[[#This Row],[mean]]^2/Table1[[#This Row],[SD]]^2,IF(Table1[[#This Row],[dist]]="Beta",(((Table1[[#This Row],[mean]])^2)*(1-(Table1[[#This Row],[mean]]))/((Table1[[#This Row],[SD]])^2)-(Table1[[#This Row],[mean]])),0))</f>
        <v>13.312500000000007</v>
      </c>
      <c r="S40" s="7">
        <f>IF(Table1[[#This Row],[dist]]="Gamma",Table1[[#This Row],[mean]]/Table1[[#This Row],[SD]]^2,IF(Table1[[#This Row],[dist]]="Beta",((1-(Table1[[#This Row],[mean]]))*(((1-(Table1[[#This Row],[mean]]))*(Table1[[#This Row],[mean]]))/((Table1[[#This Row],[SD]])^2)-1)),0))</f>
        <v>4.4375000000000027</v>
      </c>
      <c r="T40" s="3"/>
      <c r="U40" s="6">
        <v>0</v>
      </c>
    </row>
    <row r="41" spans="1:21" x14ac:dyDescent="0.2">
      <c r="A41" t="s">
        <v>48</v>
      </c>
      <c r="B41" t="s">
        <v>49</v>
      </c>
      <c r="C41" t="s">
        <v>43</v>
      </c>
      <c r="D41" t="s">
        <v>50</v>
      </c>
      <c r="E41">
        <v>1.0749999999999999E-2</v>
      </c>
      <c r="F41">
        <v>3.2250000000000001E-2</v>
      </c>
      <c r="G41" t="s">
        <v>281</v>
      </c>
      <c r="J41" s="6" t="str">
        <f>IF(ISBLANK(Table1[[#This Row],[newMean]]),Table1[[#This Row],[Root Definition]],Table1[[#This Row],[newMean]])</f>
        <v>0.0215</v>
      </c>
      <c r="K41" s="6">
        <f>IF(ISBLANK(Table1[[#This Row],[newSD]]),(Table1[[#This Row],[High]]-Table1[[#This Row],[Root Definition]])/2,Table1[[#This Row],[newSD]])</f>
        <v>5.3750000000000013E-3</v>
      </c>
      <c r="L41" s="13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8.4612338861010938E-3</v>
      </c>
      <c r="M41" s="13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0.96580806297554722</v>
      </c>
      <c r="N41" s="14">
        <v>32</v>
      </c>
      <c r="O41" t="str">
        <f>G41</f>
        <v>Beta</v>
      </c>
      <c r="P41" t="str">
        <f>CONCATENATE("dist_",A41)</f>
        <v>dist_pAE_Wheeze_LAIV</v>
      </c>
      <c r="R41" s="7">
        <f>IF(Table1[[#This Row],[dist]]="Gamma",Table1[[#This Row],[mean]]^2/Table1[[#This Row],[SD]]^2,IF(Table1[[#This Row],[dist]]="Beta",(((Table1[[#This Row],[mean]])^2)*(1-(Table1[[#This Row],[mean]]))/((Table1[[#This Row],[SD]])^2)-(Table1[[#This Row],[mean]])),0))</f>
        <v>15.634499999999992</v>
      </c>
      <c r="S41" s="7">
        <f>IF(Table1[[#This Row],[dist]]="Gamma",Table1[[#This Row],[mean]]/Table1[[#This Row],[SD]]^2,IF(Table1[[#This Row],[dist]]="Beta",((1-(Table1[[#This Row],[mean]]))*(((1-(Table1[[#This Row],[mean]]))*(Table1[[#This Row],[mean]]))/((Table1[[#This Row],[SD]])^2)-1)),0))</f>
        <v>711.55154651162752</v>
      </c>
      <c r="U41" s="6">
        <v>0</v>
      </c>
    </row>
    <row r="42" spans="1:21" x14ac:dyDescent="0.2">
      <c r="A42" s="6" t="s">
        <v>51</v>
      </c>
      <c r="B42" s="6" t="s">
        <v>52</v>
      </c>
      <c r="C42" s="6" t="s">
        <v>43</v>
      </c>
      <c r="D42" s="6" t="s">
        <v>53</v>
      </c>
      <c r="E42" s="6">
        <v>1.2749999999999999E-2</v>
      </c>
      <c r="F42" s="6">
        <v>3.8249999999999999E-2</v>
      </c>
      <c r="G42" s="6" t="s">
        <v>281</v>
      </c>
      <c r="H42" s="6"/>
      <c r="I42" s="6"/>
      <c r="J42" s="6" t="str">
        <f>IF(ISBLANK(Table1[[#This Row],[newMean]]),Table1[[#This Row],[Root Definition]],Table1[[#This Row],[newMean]])</f>
        <v>0.0255</v>
      </c>
      <c r="K42" s="6">
        <f>IF(ISBLANK(Table1[[#This Row],[newSD]]),(Table1[[#This Row],[High]]-Table1[[#This Row],[Root Definition]])/2,Table1[[#This Row],[newSD]])</f>
        <v>6.3750000000000005E-3</v>
      </c>
      <c r="L42" s="13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8.505459985188769E-3</v>
      </c>
      <c r="M42" s="13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0.9658482059149438</v>
      </c>
      <c r="N42" s="14">
        <v>33</v>
      </c>
      <c r="O42" s="6" t="str">
        <f>G42</f>
        <v>Beta</v>
      </c>
      <c r="P42" s="6" t="str">
        <f>CONCATENATE("dist_",A42)</f>
        <v>dist_pAE_Wheeze_TIV</v>
      </c>
      <c r="Q42" s="6"/>
      <c r="R42" s="7">
        <f>IF(Table1[[#This Row],[dist]]="Gamma",Table1[[#This Row],[mean]]^2/Table1[[#This Row],[SD]]^2,IF(Table1[[#This Row],[dist]]="Beta",(((Table1[[#This Row],[mean]])^2)*(1-(Table1[[#This Row],[mean]]))/((Table1[[#This Row],[SD]])^2)-(Table1[[#This Row],[mean]])),0))</f>
        <v>15.566499999999996</v>
      </c>
      <c r="S42" s="7">
        <f>IF(Table1[[#This Row],[dist]]="Gamma",Table1[[#This Row],[mean]]/Table1[[#This Row],[SD]]^2,IF(Table1[[#This Row],[dist]]="Beta",((1-(Table1[[#This Row],[mean]]))*(((1-(Table1[[#This Row],[mean]]))*(Table1[[#This Row],[mean]]))/((Table1[[#This Row],[SD]])^2)-1)),0))</f>
        <v>594.88448039215677</v>
      </c>
      <c r="T42" s="6"/>
      <c r="U42" s="6">
        <v>0</v>
      </c>
    </row>
    <row r="43" spans="1:21" x14ac:dyDescent="0.2">
      <c r="A43" s="6" t="s">
        <v>54</v>
      </c>
      <c r="B43" s="6" t="s">
        <v>55</v>
      </c>
      <c r="C43" s="6" t="s">
        <v>43</v>
      </c>
      <c r="D43" s="6" t="s">
        <v>56</v>
      </c>
      <c r="E43" s="6">
        <v>3.3000000000000002E-6</v>
      </c>
      <c r="F43" s="6">
        <v>9.9000000000000001E-6</v>
      </c>
      <c r="G43" s="6" t="s">
        <v>281</v>
      </c>
      <c r="H43" s="6"/>
      <c r="I43" s="6"/>
      <c r="J43" s="6" t="str">
        <f>IF(ISBLANK(Table1[[#This Row],[newMean]]),Table1[[#This Row],[Root Definition]],Table1[[#This Row],[newMean]])</f>
        <v>0.0000066</v>
      </c>
      <c r="K43" s="6">
        <f>IF(ISBLANK(Table1[[#This Row],[newSD]]),(Table1[[#This Row],[High]]-Table1[[#This Row],[Root Definition]])/2,Table1[[#This Row],[newSD]])</f>
        <v>1.6499999999999999E-6</v>
      </c>
      <c r="L43" s="13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8.2310797773982817E-3</v>
      </c>
      <c r="M43" s="13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0.96559996793758796</v>
      </c>
      <c r="N43" s="14">
        <v>34</v>
      </c>
      <c r="O43" s="6" t="str">
        <f>G43</f>
        <v>Beta</v>
      </c>
      <c r="P43" s="6" t="str">
        <f>CONCATENATE("dist_",A43)</f>
        <v>dist_pDie_Flu</v>
      </c>
      <c r="Q43" s="6"/>
      <c r="R43" s="7">
        <f>IF(Table1[[#This Row],[dist]]="Gamma",Table1[[#This Row],[mean]]^2/Table1[[#This Row],[SD]]^2,IF(Table1[[#This Row],[dist]]="Beta",(((Table1[[#This Row],[mean]])^2)*(1-(Table1[[#This Row],[mean]]))/((Table1[[#This Row],[SD]])^2)-(Table1[[#This Row],[mean]])),0))</f>
        <v>15.999887800000002</v>
      </c>
      <c r="S43" s="7">
        <f>IF(Table1[[#This Row],[dist]]="Gamma",Table1[[#This Row],[mean]]/Table1[[#This Row],[SD]]^2,IF(Table1[[#This Row],[dist]]="Beta",((1-(Table1[[#This Row],[mean]]))*(((1-(Table1[[#This Row],[mean]]))*(Table1[[#This Row],[mean]]))/((Table1[[#This Row],[SD]])^2)-1)),0))</f>
        <v>2424209.4243546249</v>
      </c>
      <c r="T43" s="6"/>
      <c r="U43" s="6">
        <v>0</v>
      </c>
    </row>
    <row r="44" spans="1:21" x14ac:dyDescent="0.2">
      <c r="A44" s="6" t="s">
        <v>85</v>
      </c>
      <c r="B44" s="6" t="s">
        <v>86</v>
      </c>
      <c r="C44" s="6" t="s">
        <v>43</v>
      </c>
      <c r="D44" s="6" t="s">
        <v>56</v>
      </c>
      <c r="E44" s="6">
        <v>3.3000000000000002E-6</v>
      </c>
      <c r="F44" s="6">
        <v>9.9000000000000001E-6</v>
      </c>
      <c r="G44" s="6" t="s">
        <v>281</v>
      </c>
      <c r="H44" s="6"/>
      <c r="I44" s="6"/>
      <c r="J44" s="6" t="str">
        <f>IF(ISBLANK(Table1[[#This Row],[newMean]]),Table1[[#This Row],[Root Definition]],Table1[[#This Row],[newMean]])</f>
        <v>0.0000066</v>
      </c>
      <c r="K44" s="6">
        <f>IF(ISBLANK(Table1[[#This Row],[newSD]]),(Table1[[#This Row],[High]]-Table1[[#This Row],[Root Definition]])/2,Table1[[#This Row],[newSD]])</f>
        <v>1.6499999999999999E-6</v>
      </c>
      <c r="L44" s="13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8.2310797773982817E-3</v>
      </c>
      <c r="M44" s="13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0.96559996793758796</v>
      </c>
      <c r="N44" s="14">
        <v>35</v>
      </c>
      <c r="O44" s="6" t="str">
        <f>G44</f>
        <v>Beta</v>
      </c>
      <c r="P44" s="6" t="str">
        <f>CONCATENATE("dist_",A44)</f>
        <v>dist_pDie_Flu_AOM</v>
      </c>
      <c r="Q44" s="6"/>
      <c r="R44" s="7">
        <f>IF(Table1[[#This Row],[dist]]="Gamma",Table1[[#This Row],[mean]]^2/Table1[[#This Row],[SD]]^2,IF(Table1[[#This Row],[dist]]="Beta",(((Table1[[#This Row],[mean]])^2)*(1-(Table1[[#This Row],[mean]]))/((Table1[[#This Row],[SD]])^2)-(Table1[[#This Row],[mean]])),0))</f>
        <v>15.999887800000002</v>
      </c>
      <c r="S44" s="7">
        <f>IF(Table1[[#This Row],[dist]]="Gamma",Table1[[#This Row],[mean]]/Table1[[#This Row],[SD]]^2,IF(Table1[[#This Row],[dist]]="Beta",((1-(Table1[[#This Row],[mean]]))*(((1-(Table1[[#This Row],[mean]]))*(Table1[[#This Row],[mean]]))/((Table1[[#This Row],[SD]])^2)-1)),0))</f>
        <v>2424209.4243546249</v>
      </c>
      <c r="T44" s="6"/>
      <c r="U44" s="6">
        <v>0</v>
      </c>
    </row>
    <row r="45" spans="1:21" hidden="1" x14ac:dyDescent="0.2">
      <c r="A45" s="6" t="s">
        <v>146</v>
      </c>
      <c r="B45" s="6" t="s">
        <v>147</v>
      </c>
      <c r="C45" s="6" t="s">
        <v>13</v>
      </c>
      <c r="D45" s="6" t="s">
        <v>85</v>
      </c>
      <c r="E45" s="6">
        <v>0</v>
      </c>
      <c r="F45" s="6">
        <v>6.6000000000000003E-6</v>
      </c>
      <c r="G45" s="6"/>
      <c r="H45" s="6"/>
      <c r="I45" s="6"/>
      <c r="J45" s="6" t="str">
        <f>IF(ISBLANK(Table1[[#This Row],[newMean]]),Table1[[#This Row],[Root Definition]],Table1[[#This Row],[newMean]])</f>
        <v>pDie_Flu_AOM</v>
      </c>
      <c r="K45" s="6"/>
      <c r="L45" s="10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0</v>
      </c>
      <c r="M45" s="11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</v>
      </c>
      <c r="N45" s="4"/>
      <c r="O45" s="6"/>
      <c r="P45" s="6"/>
      <c r="Q45" s="6"/>
      <c r="R45" s="6"/>
      <c r="S45" s="6"/>
      <c r="T45" s="6"/>
      <c r="U45" s="6"/>
    </row>
    <row r="46" spans="1:21" hidden="1" x14ac:dyDescent="0.2">
      <c r="A46" s="6" t="s">
        <v>148</v>
      </c>
      <c r="B46" s="6" t="s">
        <v>149</v>
      </c>
      <c r="C46" s="6" t="s">
        <v>13</v>
      </c>
      <c r="D46" s="6" t="s">
        <v>85</v>
      </c>
      <c r="E46" s="6">
        <v>0</v>
      </c>
      <c r="F46" s="6">
        <v>6.6000000000000003E-6</v>
      </c>
      <c r="G46" s="6"/>
      <c r="H46" s="6"/>
      <c r="I46" s="6"/>
      <c r="J46" s="6" t="str">
        <f>IF(ISBLANK(Table1[[#This Row],[newMean]]),Table1[[#This Row],[Root Definition]],Table1[[#This Row],[newMean]])</f>
        <v>pDie_Flu_AOM</v>
      </c>
      <c r="K46" s="6"/>
      <c r="L46" s="8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0</v>
      </c>
      <c r="M46" s="9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</v>
      </c>
      <c r="N46" s="4"/>
      <c r="O46" s="6"/>
      <c r="P46" s="6"/>
      <c r="Q46" s="6"/>
      <c r="R46" s="6"/>
      <c r="S46" s="6"/>
      <c r="T46" s="6"/>
      <c r="U46" s="6"/>
    </row>
    <row r="47" spans="1:21" hidden="1" x14ac:dyDescent="0.2">
      <c r="A47" s="6" t="s">
        <v>131</v>
      </c>
      <c r="B47" s="6" t="s">
        <v>132</v>
      </c>
      <c r="C47" s="6" t="s">
        <v>13</v>
      </c>
      <c r="D47" s="6" t="s">
        <v>54</v>
      </c>
      <c r="E47" s="6">
        <v>0</v>
      </c>
      <c r="F47" s="6">
        <v>6.6000000000000003E-6</v>
      </c>
      <c r="G47" s="6"/>
      <c r="I47" s="6"/>
      <c r="J47" s="6" t="str">
        <f>IF(ISBLANK(Table1[[#This Row],[newMean]]),Table1[[#This Row],[Root Definition]],Table1[[#This Row],[newMean]])</f>
        <v>pDie_Flu</v>
      </c>
      <c r="L47" s="10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0</v>
      </c>
      <c r="M47" s="11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</v>
      </c>
      <c r="N47" s="4"/>
      <c r="O47" s="6"/>
      <c r="P47" s="6"/>
      <c r="Q47" s="6"/>
      <c r="R47" s="6"/>
      <c r="S47" s="6"/>
      <c r="T47" s="6"/>
      <c r="U47" s="6"/>
    </row>
    <row r="48" spans="1:21" x14ac:dyDescent="0.2">
      <c r="A48" s="6" t="s">
        <v>57</v>
      </c>
      <c r="B48" s="6" t="s">
        <v>58</v>
      </c>
      <c r="C48" s="6" t="s">
        <v>59</v>
      </c>
      <c r="D48" s="6" t="s">
        <v>60</v>
      </c>
      <c r="E48" s="6">
        <v>8.3999999999999995E-5</v>
      </c>
      <c r="F48" s="6">
        <v>2.5099999999999998E-4</v>
      </c>
      <c r="G48" s="6" t="s">
        <v>281</v>
      </c>
      <c r="I48" s="6"/>
      <c r="J48" s="6" t="str">
        <f>IF(ISBLANK(Table1[[#This Row],[newMean]]),Table1[[#This Row],[Root Definition]],Table1[[#This Row],[newMean]])</f>
        <v>0.0001676</v>
      </c>
      <c r="K48">
        <f>IF(ISBLANK(Table1[[#This Row],[newSD]]),(Table1[[#This Row],[High]]-Table1[[#This Row],[Root Definition]])/2,Table1[[#This Row],[newSD]])</f>
        <v>4.1699999999999984E-5</v>
      </c>
      <c r="L48" s="13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8.1289343686326149E-3</v>
      </c>
      <c r="M48" s="13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0.96564807448335399</v>
      </c>
      <c r="N48" s="14">
        <v>36</v>
      </c>
      <c r="O48" s="6" t="str">
        <f>G48</f>
        <v>Beta</v>
      </c>
      <c r="P48" s="6" t="str">
        <f>CONCATENATE("dist_",A48)</f>
        <v>dist_pDie_Flu_LRI</v>
      </c>
      <c r="Q48" s="6"/>
      <c r="R48" s="7">
        <f>IF(Table1[[#This Row],[dist]]="Gamma",Table1[[#This Row],[mean]]^2/Table1[[#This Row],[SD]]^2,IF(Table1[[#This Row],[dist]]="Beta",(((Table1[[#This Row],[mean]])^2)*(1-(Table1[[#This Row],[mean]]))/((Table1[[#This Row],[SD]])^2)-(Table1[[#This Row],[mean]])),0))</f>
        <v>16.150970284641364</v>
      </c>
      <c r="S48" s="7">
        <f>IF(Table1[[#This Row],[dist]]="Gamma",Table1[[#This Row],[mean]]/Table1[[#This Row],[SD]]^2,IF(Table1[[#This Row],[dist]]="Beta",((1-(Table1[[#This Row],[mean]]))*(((1-(Table1[[#This Row],[mean]]))*(Table1[[#This Row],[mean]]))/((Table1[[#This Row],[SD]])^2)-1)),0))</f>
        <v>96350.020179126834</v>
      </c>
      <c r="T48" s="6"/>
      <c r="U48" s="6">
        <v>0</v>
      </c>
    </row>
    <row r="49" spans="1:21" hidden="1" x14ac:dyDescent="0.2">
      <c r="A49" t="s">
        <v>61</v>
      </c>
      <c r="B49" t="s">
        <v>62</v>
      </c>
      <c r="C49" t="s">
        <v>13</v>
      </c>
      <c r="D49" t="s">
        <v>57</v>
      </c>
      <c r="E49">
        <v>0</v>
      </c>
      <c r="F49">
        <v>1.6760000000000001E-4</v>
      </c>
      <c r="J49" s="6" t="str">
        <f>IF(ISBLANK(Table1[[#This Row],[newMean]]),Table1[[#This Row],[Root Definition]],Table1[[#This Row],[newMean]])</f>
        <v>pDie_Flu_LRI</v>
      </c>
      <c r="L49" s="8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0</v>
      </c>
      <c r="M49" s="9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</v>
      </c>
      <c r="N49" s="4"/>
    </row>
    <row r="50" spans="1:21" hidden="1" x14ac:dyDescent="0.2">
      <c r="A50" t="s">
        <v>63</v>
      </c>
      <c r="B50" t="s">
        <v>64</v>
      </c>
      <c r="C50" t="s">
        <v>13</v>
      </c>
      <c r="D50" t="s">
        <v>57</v>
      </c>
      <c r="E50">
        <v>0</v>
      </c>
      <c r="F50">
        <v>1.6760000000000001E-4</v>
      </c>
      <c r="J50" s="6" t="str">
        <f>IF(ISBLANK(Table1[[#This Row],[newMean]]),Table1[[#This Row],[Root Definition]],Table1[[#This Row],[newMean]])</f>
        <v>pDie_Flu_LRI</v>
      </c>
      <c r="L50" s="8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0</v>
      </c>
      <c r="M50" s="9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</v>
      </c>
      <c r="N50" s="4"/>
    </row>
    <row r="51" spans="1:21" hidden="1" x14ac:dyDescent="0.2">
      <c r="A51" t="s">
        <v>133</v>
      </c>
      <c r="B51" t="s">
        <v>134</v>
      </c>
      <c r="C51" t="s">
        <v>13</v>
      </c>
      <c r="D51" t="s">
        <v>54</v>
      </c>
      <c r="E51">
        <v>0</v>
      </c>
      <c r="F51">
        <v>6.6000000000000003E-6</v>
      </c>
      <c r="J51" s="6" t="str">
        <f>IF(ISBLANK(Table1[[#This Row],[newMean]]),Table1[[#This Row],[Root Definition]],Table1[[#This Row],[newMean]])</f>
        <v>pDie_Flu</v>
      </c>
      <c r="L51" s="8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0</v>
      </c>
      <c r="M51" s="9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</v>
      </c>
      <c r="N51" s="4"/>
    </row>
    <row r="52" spans="1:21" x14ac:dyDescent="0.2">
      <c r="A52" s="6" t="s">
        <v>243</v>
      </c>
      <c r="B52" s="6" t="s">
        <v>244</v>
      </c>
      <c r="C52" s="6" t="s">
        <v>245</v>
      </c>
      <c r="D52" s="6" t="s">
        <v>246</v>
      </c>
      <c r="E52" s="6">
        <v>6.4000000000000001E-2</v>
      </c>
      <c r="F52" s="6">
        <v>0.27300000000000002</v>
      </c>
      <c r="G52" s="6" t="s">
        <v>281</v>
      </c>
      <c r="H52" s="6"/>
      <c r="I52" s="6"/>
      <c r="J52" s="6" t="str">
        <f>IF(ISBLANK(Table1[[#This Row],[newMean]]),Table1[[#This Row],[Root Definition]],Table1[[#This Row],[newMean]])</f>
        <v>0.15</v>
      </c>
      <c r="K52" s="6">
        <f>IF(ISBLANK(Table1[[#This Row],[newSD]]),(Table1[[#This Row],[High]]-Table1[[#This Row],[Root Definition]])/2,Table1[[#This Row],[newSD]])</f>
        <v>6.1500000000000013E-2</v>
      </c>
      <c r="L52" s="13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5.4888737566767501E-2</v>
      </c>
      <c r="M52" s="13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0.96201771802425262</v>
      </c>
      <c r="N52" s="14">
        <v>37</v>
      </c>
      <c r="O52" s="6" t="str">
        <f>G52</f>
        <v>Beta</v>
      </c>
      <c r="P52" s="6" t="str">
        <f>CONCATENATE("dist_",A52)</f>
        <v>dist_Percent_AOM</v>
      </c>
      <c r="Q52" s="6"/>
      <c r="R52" s="7">
        <f>IF(Table1[[#This Row],[dist]]="Gamma",Table1[[#This Row],[mean]]^2/Table1[[#This Row],[SD]]^2,IF(Table1[[#This Row],[dist]]="Beta",(((Table1[[#This Row],[mean]])^2)*(1-(Table1[[#This Row],[mean]]))/((Table1[[#This Row],[SD]])^2)-(Table1[[#This Row],[mean]])),0))</f>
        <v>4.9065139797739414</v>
      </c>
      <c r="S52" s="7">
        <f>IF(Table1[[#This Row],[dist]]="Gamma",Table1[[#This Row],[mean]]/Table1[[#This Row],[SD]]^2,IF(Table1[[#This Row],[dist]]="Beta",((1-(Table1[[#This Row],[mean]]))*(((1-(Table1[[#This Row],[mean]]))*(Table1[[#This Row],[mean]]))/((Table1[[#This Row],[SD]])^2)-1)),0))</f>
        <v>27.803579218719005</v>
      </c>
      <c r="T52" s="6"/>
      <c r="U52" s="6">
        <v>0</v>
      </c>
    </row>
    <row r="53" spans="1:21" hidden="1" x14ac:dyDescent="0.2">
      <c r="A53" s="6" t="s">
        <v>247</v>
      </c>
      <c r="B53" s="6" t="s">
        <v>248</v>
      </c>
      <c r="C53" s="6" t="s">
        <v>13</v>
      </c>
      <c r="D53" s="6" t="s">
        <v>249</v>
      </c>
      <c r="E53" s="6">
        <v>0</v>
      </c>
      <c r="F53" s="6">
        <v>3.6659999999999998E-2</v>
      </c>
      <c r="G53" s="6"/>
      <c r="H53" s="6"/>
      <c r="I53" s="6"/>
      <c r="J53" s="6" t="str">
        <f>IF(ISBLANK(Table1[[#This Row],[newMean]]),Table1[[#This Row],[Root Definition]],Table1[[#This Row],[newMean]])</f>
        <v>RR_AOM_LAIVvsTIV * Percent_AOM_TIV</v>
      </c>
      <c r="K53" s="6"/>
      <c r="L53" s="8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0</v>
      </c>
      <c r="M53" s="9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</v>
      </c>
      <c r="N53" s="4"/>
      <c r="O53" s="6"/>
      <c r="P53" s="6"/>
      <c r="Q53" s="6"/>
      <c r="R53" s="6"/>
      <c r="S53" s="6"/>
      <c r="T53" s="6"/>
      <c r="U53" s="6"/>
    </row>
    <row r="54" spans="1:21" x14ac:dyDescent="0.2">
      <c r="A54" s="6" t="s">
        <v>250</v>
      </c>
      <c r="B54" s="6" t="s">
        <v>251</v>
      </c>
      <c r="C54" s="6" t="s">
        <v>43</v>
      </c>
      <c r="D54" s="6" t="s">
        <v>252</v>
      </c>
      <c r="E54" s="6">
        <v>3.9E-2</v>
      </c>
      <c r="F54" s="6">
        <v>0.11700000000000001</v>
      </c>
      <c r="G54" s="6" t="s">
        <v>281</v>
      </c>
      <c r="H54" s="6"/>
      <c r="I54" s="6"/>
      <c r="J54" s="6" t="str">
        <f>IF(ISBLANK(Table1[[#This Row],[newMean]]),Table1[[#This Row],[Root Definition]],Table1[[#This Row],[newMean]])</f>
        <v>0.078</v>
      </c>
      <c r="K54" s="6">
        <f>IF(ISBLANK(Table1[[#This Row],[newSD]]),(Table1[[#This Row],[High]]-Table1[[#This Row],[Root Definition]])/2,Table1[[#This Row],[newSD]])</f>
        <v>1.9500000000000003E-2</v>
      </c>
      <c r="L54" s="13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9.1303780072585251E-3</v>
      </c>
      <c r="M54" s="13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0.9664210445046908</v>
      </c>
      <c r="N54" s="14">
        <v>38</v>
      </c>
      <c r="O54" s="6" t="str">
        <f>G54</f>
        <v>Beta</v>
      </c>
      <c r="P54" s="6" t="str">
        <f>CONCATENATE("dist_",A54)</f>
        <v>dist_Percent_AOM_TIV</v>
      </c>
      <c r="Q54" s="6"/>
      <c r="R54" s="7">
        <f>IF(Table1[[#This Row],[dist]]="Gamma",Table1[[#This Row],[mean]]^2/Table1[[#This Row],[SD]]^2,IF(Table1[[#This Row],[dist]]="Beta",(((Table1[[#This Row],[mean]])^2)*(1-(Table1[[#This Row],[mean]]))/((Table1[[#This Row],[SD]])^2)-(Table1[[#This Row],[mean]])),0))</f>
        <v>14.673999999999998</v>
      </c>
      <c r="S54" s="7">
        <f>IF(Table1[[#This Row],[dist]]="Gamma",Table1[[#This Row],[mean]]/Table1[[#This Row],[SD]]^2,IF(Table1[[#This Row],[dist]]="Beta",((1-(Table1[[#This Row],[mean]]))*(((1-(Table1[[#This Row],[mean]]))*(Table1[[#This Row],[mean]]))/((Table1[[#This Row],[SD]])^2)-1)),0))</f>
        <v>173.4542051282051</v>
      </c>
      <c r="T54" s="6"/>
      <c r="U54" s="6">
        <v>0</v>
      </c>
    </row>
    <row r="55" spans="1:21" x14ac:dyDescent="0.2">
      <c r="A55" t="s">
        <v>253</v>
      </c>
      <c r="B55" t="s">
        <v>254</v>
      </c>
      <c r="C55" t="s">
        <v>43</v>
      </c>
      <c r="D55" t="s">
        <v>255</v>
      </c>
      <c r="E55">
        <v>3.7999999999999999E-2</v>
      </c>
      <c r="F55">
        <v>0.114</v>
      </c>
      <c r="G55" t="s">
        <v>281</v>
      </c>
      <c r="J55" s="6" t="str">
        <f>IF(ISBLANK(Table1[[#This Row],[newMean]]),Table1[[#This Row],[Root Definition]],Table1[[#This Row],[newMean]])</f>
        <v>0.076</v>
      </c>
      <c r="K55">
        <f>IF(ISBLANK(Table1[[#This Row],[newSD]]),(Table1[[#This Row],[High]]-Table1[[#This Row],[Root Definition]])/2,Table1[[#This Row],[newSD]])</f>
        <v>1.9000000000000003E-2</v>
      </c>
      <c r="L55" s="13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9.1049567923019679E-3</v>
      </c>
      <c r="M55" s="13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0.96639753082347535</v>
      </c>
      <c r="N55" s="14">
        <v>39</v>
      </c>
      <c r="O55" t="str">
        <f>G55</f>
        <v>Beta</v>
      </c>
      <c r="P55" t="str">
        <f>CONCATENATE("dist_",A55)</f>
        <v>dist_Percent_LRI</v>
      </c>
      <c r="R55" s="7">
        <f>IF(Table1[[#This Row],[dist]]="Gamma",Table1[[#This Row],[mean]]^2/Table1[[#This Row],[SD]]^2,IF(Table1[[#This Row],[dist]]="Beta",(((Table1[[#This Row],[mean]])^2)*(1-(Table1[[#This Row],[mean]]))/((Table1[[#This Row],[SD]])^2)-(Table1[[#This Row],[mean]])),0))</f>
        <v>14.707999999999995</v>
      </c>
      <c r="S55" s="7">
        <f>IF(Table1[[#This Row],[dist]]="Gamma",Table1[[#This Row],[mean]]/Table1[[#This Row],[SD]]^2,IF(Table1[[#This Row],[dist]]="Beta",((1-(Table1[[#This Row],[mean]]))*(((1-(Table1[[#This Row],[mean]]))*(Table1[[#This Row],[mean]]))/((Table1[[#This Row],[SD]])^2)-1)),0))</f>
        <v>178.81831578947362</v>
      </c>
      <c r="U55">
        <v>0</v>
      </c>
    </row>
    <row r="56" spans="1:21" x14ac:dyDescent="0.2">
      <c r="A56" t="s">
        <v>9</v>
      </c>
      <c r="B56" t="s">
        <v>10</v>
      </c>
      <c r="C56" t="s">
        <v>11</v>
      </c>
      <c r="D56" t="s">
        <v>12</v>
      </c>
      <c r="E56">
        <v>0.17</v>
      </c>
      <c r="F56">
        <v>0.37</v>
      </c>
      <c r="G56" t="s">
        <v>281</v>
      </c>
      <c r="J56" s="6" t="str">
        <f>IF(ISBLANK(Table1[[#This Row],[newMean]]),Table1[[#This Row],[Root Definition]],Table1[[#This Row],[newMean]])</f>
        <v>0.28</v>
      </c>
      <c r="K56">
        <f>IF(ISBLANK(Table1[[#This Row],[newSD]]),(Table1[[#This Row],[High]]-Table1[[#This Row],[Root Definition]])/2,Table1[[#This Row],[newSD]])</f>
        <v>4.4999999999999984E-2</v>
      </c>
      <c r="L56" s="13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3.7585714942050281E-3</v>
      </c>
      <c r="M56" s="13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0.97235644008129796</v>
      </c>
      <c r="N56" s="14">
        <v>40</v>
      </c>
      <c r="O56" t="str">
        <f>G56</f>
        <v>Beta</v>
      </c>
      <c r="P56" t="str">
        <f>CONCATENATE("dist_",A56)</f>
        <v>dist_pFlu</v>
      </c>
      <c r="R56" s="7">
        <f>IF(Table1[[#This Row],[dist]]="Gamma",Table1[[#This Row],[mean]]^2/Table1[[#This Row],[SD]]^2,IF(Table1[[#This Row],[dist]]="Beta",(((Table1[[#This Row],[mean]])^2)*(1-(Table1[[#This Row],[mean]]))/((Table1[[#This Row],[SD]])^2)-(Table1[[#This Row],[mean]])),0))</f>
        <v>27.595555555555578</v>
      </c>
      <c r="S56" s="7">
        <f>IF(Table1[[#This Row],[dist]]="Gamma",Table1[[#This Row],[mean]]/Table1[[#This Row],[SD]]^2,IF(Table1[[#This Row],[dist]]="Beta",((1-(Table1[[#This Row],[mean]]))*(((1-(Table1[[#This Row],[mean]]))*(Table1[[#This Row],[mean]]))/((Table1[[#This Row],[SD]])^2)-1)),0))</f>
        <v>70.960000000000051</v>
      </c>
      <c r="U56">
        <v>0</v>
      </c>
    </row>
    <row r="57" spans="1:21" hidden="1" x14ac:dyDescent="0.2">
      <c r="A57" t="s">
        <v>35</v>
      </c>
      <c r="B57" t="s">
        <v>36</v>
      </c>
      <c r="C57" t="s">
        <v>13</v>
      </c>
      <c r="D57" t="s">
        <v>37</v>
      </c>
      <c r="E57">
        <v>0</v>
      </c>
      <c r="F57">
        <v>4.2000000000000003E-2</v>
      </c>
      <c r="J57" s="6" t="str">
        <f>IF(ISBLANK(Table1[[#This Row],[newMean]]),Table1[[#This Row],[Root Definition]],Table1[[#This Row],[newMean]])</f>
        <v>pFlu * Percent_AOM</v>
      </c>
      <c r="L57" s="8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0</v>
      </c>
      <c r="M57" s="9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</v>
      </c>
      <c r="N57" s="4"/>
    </row>
    <row r="58" spans="1:21" hidden="1" x14ac:dyDescent="0.2">
      <c r="A58" t="s">
        <v>65</v>
      </c>
      <c r="B58" t="s">
        <v>66</v>
      </c>
      <c r="C58" t="s">
        <v>13</v>
      </c>
      <c r="D58" t="s">
        <v>67</v>
      </c>
      <c r="E58">
        <v>0</v>
      </c>
      <c r="F58">
        <v>1.7450160000000005E-3</v>
      </c>
      <c r="J58" s="6" t="str">
        <f>IF(ISBLANK(Table1[[#This Row],[newMean]]),Table1[[#This Row],[Root Definition]],Table1[[#This Row],[newMean]])</f>
        <v>pFlu_LAIV * Percent_AOM_LAIV</v>
      </c>
      <c r="L58" s="8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0</v>
      </c>
      <c r="M58" s="9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</v>
      </c>
      <c r="N58" s="4"/>
    </row>
    <row r="59" spans="1:21" hidden="1" x14ac:dyDescent="0.2">
      <c r="A59" t="s">
        <v>68</v>
      </c>
      <c r="B59" t="s">
        <v>69</v>
      </c>
      <c r="C59" t="s">
        <v>13</v>
      </c>
      <c r="D59" t="s">
        <v>70</v>
      </c>
      <c r="E59">
        <v>0</v>
      </c>
      <c r="F59">
        <v>7.8624000000000003E-3</v>
      </c>
      <c r="J59" s="6" t="str">
        <f>IF(ISBLANK(Table1[[#This Row],[newMean]]),Table1[[#This Row],[Root Definition]],Table1[[#This Row],[newMean]])</f>
        <v>pFlu_TIV * Percent_AOM_TIV</v>
      </c>
      <c r="L59" s="8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0</v>
      </c>
      <c r="M59" s="9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</v>
      </c>
      <c r="N59" s="4"/>
    </row>
    <row r="60" spans="1:21" hidden="1" x14ac:dyDescent="0.2">
      <c r="A60" t="s">
        <v>71</v>
      </c>
      <c r="B60" t="s">
        <v>72</v>
      </c>
      <c r="C60" t="s">
        <v>13</v>
      </c>
      <c r="D60" t="s">
        <v>73</v>
      </c>
      <c r="E60">
        <v>0</v>
      </c>
      <c r="F60">
        <v>4.7600000000000017E-2</v>
      </c>
      <c r="J60" s="6" t="str">
        <f>IF(ISBLANK(Table1[[#This Row],[newMean]]),Table1[[#This Row],[Root Definition]],Table1[[#This Row],[newMean]])</f>
        <v>pFlu * (1 - eff_LAIV)</v>
      </c>
      <c r="L60" s="8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0</v>
      </c>
      <c r="M60" s="9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</v>
      </c>
      <c r="N60" s="4"/>
      <c r="R60" s="6"/>
      <c r="S60" s="6"/>
    </row>
    <row r="61" spans="1:21" hidden="1" x14ac:dyDescent="0.2">
      <c r="A61" t="s">
        <v>38</v>
      </c>
      <c r="B61" t="s">
        <v>39</v>
      </c>
      <c r="C61" t="s">
        <v>13</v>
      </c>
      <c r="D61" t="s">
        <v>40</v>
      </c>
      <c r="E61">
        <v>0</v>
      </c>
      <c r="F61">
        <v>2.128E-2</v>
      </c>
      <c r="J61" s="6" t="str">
        <f>IF(ISBLANK(Table1[[#This Row],[newMean]]),Table1[[#This Row],[Root Definition]],Table1[[#This Row],[newMean]])</f>
        <v>pFlu * Percent_LRI</v>
      </c>
      <c r="L61" s="8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0</v>
      </c>
      <c r="M61" s="9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</v>
      </c>
      <c r="N61" s="4"/>
      <c r="R61" s="6"/>
      <c r="S61" s="6"/>
    </row>
    <row r="62" spans="1:21" hidden="1" x14ac:dyDescent="0.2">
      <c r="A62" s="6" t="s">
        <v>125</v>
      </c>
      <c r="B62" s="6" t="s">
        <v>126</v>
      </c>
      <c r="C62" s="6" t="s">
        <v>13</v>
      </c>
      <c r="D62" s="6" t="s">
        <v>127</v>
      </c>
      <c r="E62" s="6">
        <v>0</v>
      </c>
      <c r="F62" s="6">
        <v>3.6176000000000012E-3</v>
      </c>
      <c r="G62" s="6"/>
      <c r="H62" s="6"/>
      <c r="J62" s="6" t="str">
        <f>IF(ISBLANK(Table1[[#This Row],[newMean]]),Table1[[#This Row],[Root Definition]],Table1[[#This Row],[newMean]])</f>
        <v>pFlu_LAIV * Percent_LRI</v>
      </c>
      <c r="L62" s="8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0</v>
      </c>
      <c r="M62" s="9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</v>
      </c>
      <c r="N62" s="4"/>
      <c r="O62" s="6"/>
      <c r="P62" s="6"/>
      <c r="Q62" s="6"/>
      <c r="R62" s="6"/>
      <c r="S62" s="6"/>
      <c r="T62" s="6"/>
      <c r="U62" s="6"/>
    </row>
    <row r="63" spans="1:21" hidden="1" x14ac:dyDescent="0.2">
      <c r="A63" t="s">
        <v>128</v>
      </c>
      <c r="B63" t="s">
        <v>129</v>
      </c>
      <c r="C63" t="s">
        <v>13</v>
      </c>
      <c r="D63" t="s">
        <v>130</v>
      </c>
      <c r="E63">
        <v>0</v>
      </c>
      <c r="F63">
        <v>7.6607999999999997E-3</v>
      </c>
      <c r="J63" s="6" t="str">
        <f>IF(ISBLANK(Table1[[#This Row],[newMean]]),Table1[[#This Row],[Root Definition]],Table1[[#This Row],[newMean]])</f>
        <v>pFlu_TIV * Percent_LRI</v>
      </c>
      <c r="L63" s="8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0</v>
      </c>
      <c r="M63" s="9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</v>
      </c>
      <c r="N63" s="4"/>
      <c r="R63" s="6"/>
      <c r="S63" s="6"/>
    </row>
    <row r="64" spans="1:21" hidden="1" x14ac:dyDescent="0.2">
      <c r="A64" t="s">
        <v>87</v>
      </c>
      <c r="B64" t="s">
        <v>88</v>
      </c>
      <c r="C64" t="s">
        <v>13</v>
      </c>
      <c r="D64" t="s">
        <v>89</v>
      </c>
      <c r="E64">
        <v>0</v>
      </c>
      <c r="F64">
        <v>0</v>
      </c>
      <c r="J64" s="6" t="str">
        <f>IF(ISBLANK(Table1[[#This Row],[newMean]]),Table1[[#This Row],[Root Definition]],Table1[[#This Row],[newMean]])</f>
        <v>( pFlu*(Flu_attack_monthly[_stage] - Flu_attack_monthly[_stage-1])) / (1 - pFlu *  Flu_attack_monthly[_stage-1] )</v>
      </c>
      <c r="L64" s="8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0</v>
      </c>
      <c r="M64" s="9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</v>
      </c>
      <c r="N64" s="4"/>
      <c r="R64" s="6"/>
      <c r="S64" s="6"/>
    </row>
    <row r="65" spans="1:21" hidden="1" x14ac:dyDescent="0.2">
      <c r="A65" t="s">
        <v>93</v>
      </c>
      <c r="B65" t="s">
        <v>94</v>
      </c>
      <c r="C65" t="s">
        <v>13</v>
      </c>
      <c r="D65" t="s">
        <v>95</v>
      </c>
      <c r="E65">
        <v>0</v>
      </c>
      <c r="F65">
        <v>0</v>
      </c>
      <c r="J65" s="6" t="str">
        <f>IF(ISBLANK(Table1[[#This Row],[newMean]]),Table1[[#This Row],[Root Definition]],Table1[[#This Row],[newMean]])</f>
        <v>( pFlu_postVax * (Flu_attack_monthly[_stage] - Flu_attack_monthly[_stage-1])) / (1 - pFlu_postVax *  Flu_attack_monthly[_stage-1] )</v>
      </c>
      <c r="L65" s="8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0</v>
      </c>
      <c r="M65" s="9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</v>
      </c>
      <c r="N65" s="4"/>
      <c r="R65" s="6"/>
      <c r="S65" s="6"/>
    </row>
    <row r="66" spans="1:21" hidden="1" x14ac:dyDescent="0.2">
      <c r="A66" t="s">
        <v>74</v>
      </c>
      <c r="B66" t="s">
        <v>75</v>
      </c>
      <c r="C66" t="s">
        <v>13</v>
      </c>
      <c r="D66" t="s">
        <v>76</v>
      </c>
      <c r="E66">
        <v>0</v>
      </c>
      <c r="F66">
        <v>0.1008</v>
      </c>
      <c r="J66" s="6" t="str">
        <f>IF(ISBLANK(Table1[[#This Row],[newMean]]),Table1[[#This Row],[Root Definition]],Table1[[#This Row],[newMean]])</f>
        <v>pFlu * (1-eff_TIV)</v>
      </c>
      <c r="L66" s="8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0</v>
      </c>
      <c r="M66" s="9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</v>
      </c>
      <c r="N66" s="4"/>
      <c r="R66" s="6"/>
      <c r="S66" s="6"/>
    </row>
    <row r="67" spans="1:21" s="3" customFormat="1" hidden="1" x14ac:dyDescent="0.2">
      <c r="A67" t="s">
        <v>90</v>
      </c>
      <c r="B67" t="s">
        <v>91</v>
      </c>
      <c r="C67" t="s">
        <v>13</v>
      </c>
      <c r="D67" t="s">
        <v>92</v>
      </c>
      <c r="E67">
        <v>0</v>
      </c>
      <c r="F67">
        <v>0.34328000000000003</v>
      </c>
      <c r="G67"/>
      <c r="H67"/>
      <c r="I67"/>
      <c r="J67" s="6" t="str">
        <f>IF(ISBLANK(Table1[[#This Row],[newMean]]),Table1[[#This Row],[Root Definition]],Table1[[#This Row],[newMean]])</f>
        <v>pFlu + pFlu_AOM + pFlu_LRI</v>
      </c>
      <c r="K67"/>
      <c r="L67" s="8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0</v>
      </c>
      <c r="M67" s="9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</v>
      </c>
      <c r="N67" s="4"/>
      <c r="O67"/>
      <c r="P67"/>
      <c r="Q67"/>
      <c r="R67" s="6"/>
      <c r="S67" s="6"/>
      <c r="T67"/>
      <c r="U67"/>
    </row>
    <row r="68" spans="1:21" s="3" customFormat="1" hidden="1" x14ac:dyDescent="0.2">
      <c r="A68" t="s">
        <v>96</v>
      </c>
      <c r="B68" t="s">
        <v>97</v>
      </c>
      <c r="C68" t="s">
        <v>13</v>
      </c>
      <c r="D68" t="s">
        <v>98</v>
      </c>
      <c r="E68">
        <v>0</v>
      </c>
      <c r="F68">
        <v>0</v>
      </c>
      <c r="G68"/>
      <c r="H68"/>
      <c r="I68"/>
      <c r="J68" s="6" t="str">
        <f>IF(ISBLANK(Table1[[#This Row],[newMean]]),Table1[[#This Row],[Root Definition]],Table1[[#This Row],[newMean]])</f>
        <v>pFlu_AOM_postVax + pFlu_LRI_postVax + pFlu_postVax</v>
      </c>
      <c r="K68"/>
      <c r="L68" s="8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0</v>
      </c>
      <c r="M68" s="9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</v>
      </c>
      <c r="N68" s="4"/>
      <c r="O68"/>
      <c r="P68"/>
      <c r="Q68"/>
      <c r="R68" s="6"/>
      <c r="S68" s="6"/>
      <c r="T68"/>
      <c r="U68"/>
    </row>
    <row r="69" spans="1:21" hidden="1" x14ac:dyDescent="0.2">
      <c r="A69" s="3" t="s">
        <v>225</v>
      </c>
      <c r="B69" s="3" t="s">
        <v>226</v>
      </c>
      <c r="C69" s="3" t="s">
        <v>173</v>
      </c>
      <c r="D69" s="3" t="s">
        <v>220</v>
      </c>
      <c r="E69" s="3">
        <v>0.5</v>
      </c>
      <c r="F69" s="3">
        <v>1</v>
      </c>
      <c r="G69" s="3" t="s">
        <v>286</v>
      </c>
      <c r="H69" s="3"/>
      <c r="I69" s="3"/>
      <c r="J69" s="3" t="str">
        <f>IF(ISBLANK(Table1[[#This Row],[newMean]]),Table1[[#This Row],[Root Definition]],Table1[[#This Row],[newMean]])</f>
        <v>1</v>
      </c>
      <c r="K69" s="3"/>
      <c r="L69" s="8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0</v>
      </c>
      <c r="M69" s="9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</v>
      </c>
      <c r="N69" s="5"/>
      <c r="O69" s="3"/>
      <c r="P69" s="3"/>
      <c r="Q69" s="3"/>
      <c r="R69" s="3"/>
      <c r="S69" s="3"/>
      <c r="T69" s="3"/>
      <c r="U69" s="3"/>
    </row>
    <row r="70" spans="1:21" hidden="1" x14ac:dyDescent="0.2">
      <c r="A70" s="3" t="s">
        <v>260</v>
      </c>
      <c r="B70" s="3" t="s">
        <v>261</v>
      </c>
      <c r="C70" s="3" t="s">
        <v>173</v>
      </c>
      <c r="D70" s="3" t="s">
        <v>220</v>
      </c>
      <c r="E70" s="3">
        <v>0.5</v>
      </c>
      <c r="F70" s="3">
        <v>1</v>
      </c>
      <c r="G70" s="3" t="s">
        <v>286</v>
      </c>
      <c r="H70" s="3"/>
      <c r="I70" s="3"/>
      <c r="J70" s="3" t="str">
        <f>IF(ISBLANK(Table1[[#This Row],[newMean]]),Table1[[#This Row],[Root Definition]],Table1[[#This Row],[newMean]])</f>
        <v>1</v>
      </c>
      <c r="K70" s="3"/>
      <c r="L70" s="10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0</v>
      </c>
      <c r="M70" s="11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</v>
      </c>
      <c r="N70" s="5"/>
      <c r="O70" s="3"/>
      <c r="P70" s="3"/>
      <c r="Q70" s="3"/>
      <c r="R70" s="3"/>
      <c r="S70" s="3"/>
      <c r="T70" s="3"/>
      <c r="U70" s="3"/>
    </row>
    <row r="71" spans="1:21" x14ac:dyDescent="0.2">
      <c r="A71" t="s">
        <v>83</v>
      </c>
      <c r="B71" t="s">
        <v>84</v>
      </c>
      <c r="C71" t="s">
        <v>43</v>
      </c>
      <c r="D71" t="s">
        <v>79</v>
      </c>
      <c r="E71">
        <v>2.0000000000000001E-4</v>
      </c>
      <c r="F71">
        <v>5.9999999999999995E-4</v>
      </c>
      <c r="G71" t="s">
        <v>281</v>
      </c>
      <c r="J71" s="6" t="str">
        <f>IF(ISBLANK(Table1[[#This Row],[newMean]]),Table1[[#This Row],[Root Definition]],Table1[[#This Row],[newMean]])</f>
        <v>0.0004</v>
      </c>
      <c r="K71">
        <f>IF(ISBLANK(Table1[[#This Row],[newSD]]),(Table1[[#This Row],[High]]-Table1[[#This Row],[Root Definition]])/2,Table1[[#This Row],[newSD]])</f>
        <v>9.9999999999999964E-5</v>
      </c>
      <c r="L71" s="13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8.235182149444624E-3</v>
      </c>
      <c r="M71" s="13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0.96560366539468478</v>
      </c>
      <c r="N71" s="14">
        <v>41</v>
      </c>
      <c r="O71" t="str">
        <f>G71</f>
        <v>Beta</v>
      </c>
      <c r="P71" t="str">
        <f>CONCATENATE("dist_",A71)</f>
        <v>dist_pHosp_AOM</v>
      </c>
      <c r="R71" s="7">
        <f>IF(Table1[[#This Row],[dist]]="Gamma",Table1[[#This Row],[mean]]^2/Table1[[#This Row],[SD]]^2,IF(Table1[[#This Row],[dist]]="Beta",(((Table1[[#This Row],[mean]])^2)*(1-(Table1[[#This Row],[mean]]))/((Table1[[#This Row],[SD]])^2)-(Table1[[#This Row],[mean]])),0))</f>
        <v>15.993200000000011</v>
      </c>
      <c r="S71" s="7">
        <f>IF(Table1[[#This Row],[dist]]="Gamma",Table1[[#This Row],[mean]]/Table1[[#This Row],[SD]]^2,IF(Table1[[#This Row],[dist]]="Beta",((1-(Table1[[#This Row],[mean]]))*(((1-(Table1[[#This Row],[mean]]))*(Table1[[#This Row],[mean]]))/((Table1[[#This Row],[SD]])^2)-1)),0))</f>
        <v>39967.006800000032</v>
      </c>
      <c r="U71">
        <v>0</v>
      </c>
    </row>
    <row r="72" spans="1:21" x14ac:dyDescent="0.2">
      <c r="A72" t="s">
        <v>150</v>
      </c>
      <c r="B72" t="s">
        <v>151</v>
      </c>
      <c r="C72" t="s">
        <v>43</v>
      </c>
      <c r="D72" t="s">
        <v>137</v>
      </c>
      <c r="E72">
        <v>1E-4</v>
      </c>
      <c r="F72">
        <v>2.9999999999999997E-4</v>
      </c>
      <c r="G72" t="s">
        <v>281</v>
      </c>
      <c r="J72" s="6" t="str">
        <f>IF(ISBLANK(Table1[[#This Row],[newMean]]),Table1[[#This Row],[Root Definition]],Table1[[#This Row],[newMean]])</f>
        <v>0.0002</v>
      </c>
      <c r="K72">
        <f>IF(ISBLANK(Table1[[#This Row],[newSD]]),(Table1[[#This Row],[High]]-Table1[[#This Row],[Root Definition]])/2,Table1[[#This Row],[newSD]])</f>
        <v>4.9999999999999982E-5</v>
      </c>
      <c r="L72" s="13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8.2330960499438222E-3</v>
      </c>
      <c r="M72" s="13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0.96560178514620565</v>
      </c>
      <c r="N72" s="14">
        <v>42</v>
      </c>
      <c r="O72" t="str">
        <f>G72</f>
        <v>Beta</v>
      </c>
      <c r="P72" t="str">
        <f>CONCATENATE("dist_",A72)</f>
        <v>dist_pHosp_AOM_LAIV</v>
      </c>
      <c r="R72" s="7">
        <f>IF(Table1[[#This Row],[dist]]="Gamma",Table1[[#This Row],[mean]]^2/Table1[[#This Row],[SD]]^2,IF(Table1[[#This Row],[dist]]="Beta",(((Table1[[#This Row],[mean]])^2)*(1-(Table1[[#This Row],[mean]]))/((Table1[[#This Row],[SD]])^2)-(Table1[[#This Row],[mean]])),0))</f>
        <v>15.996600000000013</v>
      </c>
      <c r="S72" s="7">
        <f>IF(Table1[[#This Row],[dist]]="Gamma",Table1[[#This Row],[mean]]/Table1[[#This Row],[SD]]^2,IF(Table1[[#This Row],[dist]]="Beta",((1-(Table1[[#This Row],[mean]]))*(((1-(Table1[[#This Row],[mean]]))*(Table1[[#This Row],[mean]]))/((Table1[[#This Row],[SD]])^2)-1)),0))</f>
        <v>79967.00340000006</v>
      </c>
      <c r="U72">
        <v>0</v>
      </c>
    </row>
    <row r="73" spans="1:21" x14ac:dyDescent="0.2">
      <c r="A73" t="s">
        <v>152</v>
      </c>
      <c r="B73" t="s">
        <v>153</v>
      </c>
      <c r="C73" t="s">
        <v>43</v>
      </c>
      <c r="D73" t="s">
        <v>79</v>
      </c>
      <c r="E73">
        <v>2.0000000000000001E-4</v>
      </c>
      <c r="F73">
        <v>5.9999999999999995E-4</v>
      </c>
      <c r="G73" t="s">
        <v>281</v>
      </c>
      <c r="J73" s="6" t="str">
        <f>IF(ISBLANK(Table1[[#This Row],[newMean]]),Table1[[#This Row],[Root Definition]],Table1[[#This Row],[newMean]])</f>
        <v>0.0004</v>
      </c>
      <c r="K73">
        <f>IF(ISBLANK(Table1[[#This Row],[newSD]]),(Table1[[#This Row],[High]]-Table1[[#This Row],[Root Definition]])/2,Table1[[#This Row],[newSD]])</f>
        <v>9.9999999999999964E-5</v>
      </c>
      <c r="L73" s="13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8.235182149444624E-3</v>
      </c>
      <c r="M73" s="13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0.96560366539468478</v>
      </c>
      <c r="N73" s="14">
        <v>43</v>
      </c>
      <c r="O73" t="str">
        <f>G73</f>
        <v>Beta</v>
      </c>
      <c r="P73" t="str">
        <f>CONCATENATE("dist_",A73)</f>
        <v>dist_pHosp_AOM_TIV</v>
      </c>
      <c r="R73" s="7">
        <f>IF(Table1[[#This Row],[dist]]="Gamma",Table1[[#This Row],[mean]]^2/Table1[[#This Row],[SD]]^2,IF(Table1[[#This Row],[dist]]="Beta",(((Table1[[#This Row],[mean]])^2)*(1-(Table1[[#This Row],[mean]]))/((Table1[[#This Row],[SD]])^2)-(Table1[[#This Row],[mean]])),0))</f>
        <v>15.993200000000011</v>
      </c>
      <c r="S73" s="7">
        <f>IF(Table1[[#This Row],[dist]]="Gamma",Table1[[#This Row],[mean]]/Table1[[#This Row],[SD]]^2,IF(Table1[[#This Row],[dist]]="Beta",((1-(Table1[[#This Row],[mean]]))*(((1-(Table1[[#This Row],[mean]]))*(Table1[[#This Row],[mean]]))/((Table1[[#This Row],[SD]])^2)-1)),0))</f>
        <v>39967.006800000032</v>
      </c>
      <c r="U73">
        <v>0</v>
      </c>
    </row>
    <row r="74" spans="1:21" x14ac:dyDescent="0.2">
      <c r="A74" t="s">
        <v>77</v>
      </c>
      <c r="B74" t="s">
        <v>78</v>
      </c>
      <c r="C74" t="s">
        <v>43</v>
      </c>
      <c r="D74" t="s">
        <v>79</v>
      </c>
      <c r="E74">
        <v>2.0000000000000001E-4</v>
      </c>
      <c r="F74">
        <v>5.9999999999999995E-4</v>
      </c>
      <c r="G74" t="s">
        <v>281</v>
      </c>
      <c r="J74" s="6" t="str">
        <f>IF(ISBLANK(Table1[[#This Row],[newMean]]),Table1[[#This Row],[Root Definition]],Table1[[#This Row],[newMean]])</f>
        <v>0.0004</v>
      </c>
      <c r="K74">
        <f>IF(ISBLANK(Table1[[#This Row],[newSD]]),(Table1[[#This Row],[High]]-Table1[[#This Row],[Root Definition]])/2,Table1[[#This Row],[newSD]])</f>
        <v>9.9999999999999964E-5</v>
      </c>
      <c r="L74" s="13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8.235182149444624E-3</v>
      </c>
      <c r="M74" s="13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0.96560366539468478</v>
      </c>
      <c r="N74" s="14">
        <v>44</v>
      </c>
      <c r="O74" t="str">
        <f>G74</f>
        <v>Beta</v>
      </c>
      <c r="P74" t="str">
        <f>CONCATENATE("dist_",A74)</f>
        <v>dist_pHosp_Flu</v>
      </c>
      <c r="R74" s="7">
        <f>IF(Table1[[#This Row],[dist]]="Gamma",Table1[[#This Row],[mean]]^2/Table1[[#This Row],[SD]]^2,IF(Table1[[#This Row],[dist]]="Beta",(((Table1[[#This Row],[mean]])^2)*(1-(Table1[[#This Row],[mean]]))/((Table1[[#This Row],[SD]])^2)-(Table1[[#This Row],[mean]])),0))</f>
        <v>15.993200000000011</v>
      </c>
      <c r="S74" s="7">
        <f>IF(Table1[[#This Row],[dist]]="Gamma",Table1[[#This Row],[mean]]/Table1[[#This Row],[SD]]^2,IF(Table1[[#This Row],[dist]]="Beta",((1-(Table1[[#This Row],[mean]]))*(((1-(Table1[[#This Row],[mean]]))*(Table1[[#This Row],[mean]]))/((Table1[[#This Row],[SD]])^2)-1)),0))</f>
        <v>39967.006800000032</v>
      </c>
      <c r="U74">
        <v>0</v>
      </c>
    </row>
    <row r="75" spans="1:21" x14ac:dyDescent="0.2">
      <c r="A75" t="s">
        <v>135</v>
      </c>
      <c r="B75" t="s">
        <v>136</v>
      </c>
      <c r="C75" t="s">
        <v>43</v>
      </c>
      <c r="D75" t="s">
        <v>137</v>
      </c>
      <c r="E75">
        <v>1E-4</v>
      </c>
      <c r="F75">
        <v>2.9999999999999997E-4</v>
      </c>
      <c r="G75" t="s">
        <v>281</v>
      </c>
      <c r="J75" s="6" t="str">
        <f>IF(ISBLANK(Table1[[#This Row],[newMean]]),Table1[[#This Row],[Root Definition]],Table1[[#This Row],[newMean]])</f>
        <v>0.0002</v>
      </c>
      <c r="K75">
        <f>IF(ISBLANK(Table1[[#This Row],[newSD]]),(Table1[[#This Row],[High]]-Table1[[#This Row],[Root Definition]])/2,Table1[[#This Row],[newSD]])</f>
        <v>4.9999999999999982E-5</v>
      </c>
      <c r="L75" s="13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8.2330960499438222E-3</v>
      </c>
      <c r="M75" s="13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0.96560178514620565</v>
      </c>
      <c r="N75" s="14">
        <v>45</v>
      </c>
      <c r="O75" t="str">
        <f>G75</f>
        <v>Beta</v>
      </c>
      <c r="P75" t="str">
        <f>CONCATENATE("dist_",A75)</f>
        <v>dist_pHosp_Flu_LAIV</v>
      </c>
      <c r="R75" s="7">
        <f>IF(Table1[[#This Row],[dist]]="Gamma",Table1[[#This Row],[mean]]^2/Table1[[#This Row],[SD]]^2,IF(Table1[[#This Row],[dist]]="Beta",(((Table1[[#This Row],[mean]])^2)*(1-(Table1[[#This Row],[mean]]))/((Table1[[#This Row],[SD]])^2)-(Table1[[#This Row],[mean]])),0))</f>
        <v>15.996600000000013</v>
      </c>
      <c r="S75" s="7">
        <f>IF(Table1[[#This Row],[dist]]="Gamma",Table1[[#This Row],[mean]]/Table1[[#This Row],[SD]]^2,IF(Table1[[#This Row],[dist]]="Beta",((1-(Table1[[#This Row],[mean]]))*(((1-(Table1[[#This Row],[mean]]))*(Table1[[#This Row],[mean]]))/((Table1[[#This Row],[SD]])^2)-1)),0))</f>
        <v>79967.00340000006</v>
      </c>
      <c r="U75">
        <v>0</v>
      </c>
    </row>
    <row r="76" spans="1:21" x14ac:dyDescent="0.2">
      <c r="A76" t="s">
        <v>138</v>
      </c>
      <c r="B76" t="s">
        <v>139</v>
      </c>
      <c r="C76" t="s">
        <v>43</v>
      </c>
      <c r="D76" t="s">
        <v>79</v>
      </c>
      <c r="E76">
        <v>2.0000000000000001E-4</v>
      </c>
      <c r="F76">
        <v>5.9999999999999995E-4</v>
      </c>
      <c r="G76" t="s">
        <v>281</v>
      </c>
      <c r="J76" s="6" t="str">
        <f>IF(ISBLANK(Table1[[#This Row],[newMean]]),Table1[[#This Row],[Root Definition]],Table1[[#This Row],[newMean]])</f>
        <v>0.0004</v>
      </c>
      <c r="K76">
        <f>IF(ISBLANK(Table1[[#This Row],[newSD]]),(Table1[[#This Row],[High]]-Table1[[#This Row],[Root Definition]])/2,Table1[[#This Row],[newSD]])</f>
        <v>9.9999999999999964E-5</v>
      </c>
      <c r="L76" s="13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8.235182149444624E-3</v>
      </c>
      <c r="M76" s="13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0.96560366539468478</v>
      </c>
      <c r="N76" s="14">
        <v>46</v>
      </c>
      <c r="O76" t="str">
        <f>G76</f>
        <v>Beta</v>
      </c>
      <c r="P76" t="str">
        <f>CONCATENATE("dist_",A76)</f>
        <v>dist_pHosp_Flu_TIV</v>
      </c>
      <c r="R76" s="7">
        <f>IF(Table1[[#This Row],[dist]]="Gamma",Table1[[#This Row],[mean]]^2/Table1[[#This Row],[SD]]^2,IF(Table1[[#This Row],[dist]]="Beta",(((Table1[[#This Row],[mean]])^2)*(1-(Table1[[#This Row],[mean]]))/((Table1[[#This Row],[SD]])^2)-(Table1[[#This Row],[mean]])),0))</f>
        <v>15.993200000000011</v>
      </c>
      <c r="S76" s="7">
        <f>IF(Table1[[#This Row],[dist]]="Gamma",Table1[[#This Row],[mean]]/Table1[[#This Row],[SD]]^2,IF(Table1[[#This Row],[dist]]="Beta",((1-(Table1[[#This Row],[mean]]))*(((1-(Table1[[#This Row],[mean]]))*(Table1[[#This Row],[mean]]))/((Table1[[#This Row],[SD]])^2)-1)),0))</f>
        <v>39967.006800000032</v>
      </c>
      <c r="U76">
        <v>0</v>
      </c>
    </row>
    <row r="77" spans="1:21" x14ac:dyDescent="0.2">
      <c r="A77" s="6" t="s">
        <v>80</v>
      </c>
      <c r="B77" s="6" t="s">
        <v>81</v>
      </c>
      <c r="C77" s="6" t="s">
        <v>43</v>
      </c>
      <c r="D77" s="6" t="s">
        <v>82</v>
      </c>
      <c r="E77" s="6">
        <v>3.2000000000000003E-4</v>
      </c>
      <c r="F77" s="6">
        <v>9.6000000000000002E-4</v>
      </c>
      <c r="G77" s="6" t="s">
        <v>281</v>
      </c>
      <c r="I77" s="6"/>
      <c r="J77" s="6" t="str">
        <f>IF(ISBLANK(Table1[[#This Row],[newMean]]),Table1[[#This Row],[Root Definition]],Table1[[#This Row],[newMean]])</f>
        <v>0.00064</v>
      </c>
      <c r="K77">
        <f>IF(ISBLANK(Table1[[#This Row],[newSD]]),(Table1[[#This Row],[High]]-Table1[[#This Row],[Root Definition]])/2,Table1[[#This Row],[newSD]])</f>
        <v>1.5999999999999999E-4</v>
      </c>
      <c r="L77" s="13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8.2376868378933321E-3</v>
      </c>
      <c r="M77" s="13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0.96560592307040172</v>
      </c>
      <c r="N77" s="14">
        <v>47</v>
      </c>
      <c r="O77" s="6" t="str">
        <f>G77</f>
        <v>Beta</v>
      </c>
      <c r="P77" s="6" t="str">
        <f>CONCATENATE("dist_",A77)</f>
        <v>dist_pHosp_LRI</v>
      </c>
      <c r="Q77" s="6"/>
      <c r="R77" s="7">
        <f>IF(Table1[[#This Row],[dist]]="Gamma",Table1[[#This Row],[mean]]^2/Table1[[#This Row],[SD]]^2,IF(Table1[[#This Row],[dist]]="Beta",(((Table1[[#This Row],[mean]])^2)*(1-(Table1[[#This Row],[mean]]))/((Table1[[#This Row],[SD]])^2)-(Table1[[#This Row],[mean]])),0))</f>
        <v>15.989120000000007</v>
      </c>
      <c r="S77" s="7">
        <f>IF(Table1[[#This Row],[dist]]="Gamma",Table1[[#This Row],[mean]]/Table1[[#This Row],[SD]]^2,IF(Table1[[#This Row],[dist]]="Beta",((1-(Table1[[#This Row],[mean]]))*(((1-(Table1[[#This Row],[mean]]))*(Table1[[#This Row],[mean]]))/((Table1[[#This Row],[SD]])^2)-1)),0))</f>
        <v>24967.010880000009</v>
      </c>
      <c r="T77" s="6"/>
      <c r="U77" s="6">
        <v>0</v>
      </c>
    </row>
    <row r="78" spans="1:21" x14ac:dyDescent="0.2">
      <c r="A78" s="6" t="s">
        <v>140</v>
      </c>
      <c r="B78" s="6" t="s">
        <v>141</v>
      </c>
      <c r="C78" s="6" t="s">
        <v>142</v>
      </c>
      <c r="D78" s="6">
        <v>1E-4</v>
      </c>
      <c r="E78" s="6">
        <v>0</v>
      </c>
      <c r="F78" s="6">
        <v>1E-4</v>
      </c>
      <c r="G78" s="6" t="s">
        <v>281</v>
      </c>
      <c r="H78" s="6"/>
      <c r="I78" s="6">
        <v>1E-3</v>
      </c>
      <c r="J78" s="6">
        <f>IF(ISBLANK(Table1[[#This Row],[newMean]]),Table1[[#This Row],[Root Definition]],Table1[[#This Row],[newMean]])</f>
        <v>1E-4</v>
      </c>
      <c r="K78" s="6">
        <f>IF(ISBLANK(Table1[[#This Row],[newSD]]),(Table1[[#This Row],[High]]-Table1[[#This Row],[Root Definition]])/2,Table1[[#This Row],[newSD]])</f>
        <v>1E-3</v>
      </c>
      <c r="L78" s="13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0</v>
      </c>
      <c r="M78" s="13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0.96059748279583879</v>
      </c>
      <c r="N78" s="14">
        <v>48</v>
      </c>
      <c r="O78" s="6" t="str">
        <f>G78</f>
        <v>Beta</v>
      </c>
      <c r="P78" s="6" t="str">
        <f>CONCATENATE("dist_",A78)</f>
        <v>dist_pHosp_LRI_LAIV</v>
      </c>
      <c r="Q78" s="6"/>
      <c r="R78" s="7">
        <f>IF(Table1[[#This Row],[dist]]="Gamma",Table1[[#This Row],[mean]]^2/Table1[[#This Row],[SD]]^2,IF(Table1[[#This Row],[dist]]="Beta",(((Table1[[#This Row],[mean]])^2)*(1-(Table1[[#This Row],[mean]]))/((Table1[[#This Row],[SD]])^2)-(Table1[[#This Row],[mean]])),0))</f>
        <v>9.8990000000000015E-3</v>
      </c>
      <c r="S78" s="7">
        <f>IF(Table1[[#This Row],[dist]]="Gamma",Table1[[#This Row],[mean]]/Table1[[#This Row],[SD]]^2,IF(Table1[[#This Row],[dist]]="Beta",((1-(Table1[[#This Row],[mean]]))*(((1-(Table1[[#This Row],[mean]]))*(Table1[[#This Row],[mean]]))/((Table1[[#This Row],[SD]])^2)-1)),0))</f>
        <v>98.980101000000005</v>
      </c>
      <c r="T78" s="6"/>
      <c r="U78" s="6">
        <v>0</v>
      </c>
    </row>
    <row r="79" spans="1:21" x14ac:dyDescent="0.2">
      <c r="A79" s="6" t="s">
        <v>143</v>
      </c>
      <c r="B79" s="6" t="s">
        <v>144</v>
      </c>
      <c r="C79" s="6" t="s">
        <v>43</v>
      </c>
      <c r="D79" s="6" t="s">
        <v>145</v>
      </c>
      <c r="E79" s="6">
        <v>5.0000000000000002E-5</v>
      </c>
      <c r="F79" s="6">
        <v>1.4999999999999999E-4</v>
      </c>
      <c r="G79" s="6" t="s">
        <v>281</v>
      </c>
      <c r="H79" s="6"/>
      <c r="I79" s="6"/>
      <c r="J79" s="6" t="str">
        <f>IF(ISBLANK(Table1[[#This Row],[newMean]]),Table1[[#This Row],[Root Definition]],Table1[[#This Row],[newMean]])</f>
        <v>0.0001</v>
      </c>
      <c r="K79" s="6">
        <f>IF(ISBLANK(Table1[[#This Row],[newSD]]),(Table1[[#This Row],[High]]-Table1[[#This Row],[Root Definition]])/2,Table1[[#This Row],[newSD]])</f>
        <v>2.4999999999999991E-5</v>
      </c>
      <c r="L79" s="13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8.2320533888883933E-3</v>
      </c>
      <c r="M79" s="13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0.96560084541303048</v>
      </c>
      <c r="N79" s="14">
        <v>49</v>
      </c>
      <c r="O79" s="6" t="str">
        <f>G79</f>
        <v>Beta</v>
      </c>
      <c r="P79" s="6" t="str">
        <f>CONCATENATE("dist_",A79)</f>
        <v>dist_pHosp_LRI_TIV</v>
      </c>
      <c r="Q79" s="6"/>
      <c r="R79" s="7">
        <f>IF(Table1[[#This Row],[dist]]="Gamma",Table1[[#This Row],[mean]]^2/Table1[[#This Row],[SD]]^2,IF(Table1[[#This Row],[dist]]="Beta",(((Table1[[#This Row],[mean]])^2)*(1-(Table1[[#This Row],[mean]]))/((Table1[[#This Row],[SD]])^2)-(Table1[[#This Row],[mean]])),0))</f>
        <v>15.998300000000011</v>
      </c>
      <c r="S79" s="7">
        <f>IF(Table1[[#This Row],[dist]]="Gamma",Table1[[#This Row],[mean]]/Table1[[#This Row],[SD]]^2,IF(Table1[[#This Row],[dist]]="Beta",((1-(Table1[[#This Row],[mean]]))*(((1-(Table1[[#This Row],[mean]]))*(Table1[[#This Row],[mean]]))/((Table1[[#This Row],[SD]])^2)-1)),0))</f>
        <v>159967.00170000011</v>
      </c>
      <c r="T79" s="6"/>
      <c r="U79" s="6">
        <v>0</v>
      </c>
    </row>
    <row r="80" spans="1:21" x14ac:dyDescent="0.2">
      <c r="A80" s="6" t="s">
        <v>165</v>
      </c>
      <c r="B80" s="6" t="s">
        <v>166</v>
      </c>
      <c r="C80" s="6" t="s">
        <v>43</v>
      </c>
      <c r="D80" s="6" t="s">
        <v>167</v>
      </c>
      <c r="E80" s="6">
        <v>4.4999999999999999E-4</v>
      </c>
      <c r="F80" s="6">
        <v>1.3500000000000001E-3</v>
      </c>
      <c r="G80" s="6" t="s">
        <v>281</v>
      </c>
      <c r="H80" s="6"/>
      <c r="I80" s="6"/>
      <c r="J80" s="6" t="str">
        <f>IF(ISBLANK(Table1[[#This Row],[newMean]]),Table1[[#This Row],[Root Definition]],Table1[[#This Row],[newMean]])</f>
        <v>0.0009</v>
      </c>
      <c r="K80" s="6">
        <f>IF(ISBLANK(Table1[[#This Row],[newSD]]),(Table1[[#This Row],[High]]-Table1[[#This Row],[Root Definition]])/2,Table1[[#This Row],[newSD]])</f>
        <v>2.2500000000000005E-4</v>
      </c>
      <c r="L80" s="13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8.2404019371045082E-3</v>
      </c>
      <c r="M80" s="13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0.96560837058319282</v>
      </c>
      <c r="N80" s="14">
        <v>50</v>
      </c>
      <c r="O80" s="6" t="str">
        <f>G80</f>
        <v>Beta</v>
      </c>
      <c r="P80" s="6" t="str">
        <f>CONCATENATE("dist_",A80)</f>
        <v>dist_pHosp_Wheeze_LAIV</v>
      </c>
      <c r="Q80" s="6"/>
      <c r="R80" s="7">
        <f>IF(Table1[[#This Row],[dist]]="Gamma",Table1[[#This Row],[mean]]^2/Table1[[#This Row],[SD]]^2,IF(Table1[[#This Row],[dist]]="Beta",(((Table1[[#This Row],[mean]])^2)*(1-(Table1[[#This Row],[mean]]))/((Table1[[#This Row],[SD]])^2)-(Table1[[#This Row],[mean]])),0))</f>
        <v>15.984699999999991</v>
      </c>
      <c r="S80" s="7">
        <f>IF(Table1[[#This Row],[dist]]="Gamma",Table1[[#This Row],[mean]]/Table1[[#This Row],[SD]]^2,IF(Table1[[#This Row],[dist]]="Beta",((1-(Table1[[#This Row],[mean]]))*(((1-(Table1[[#This Row],[mean]]))*(Table1[[#This Row],[mean]]))/((Table1[[#This Row],[SD]])^2)-1)),0))</f>
        <v>17744.793077777769</v>
      </c>
      <c r="T80" s="6"/>
      <c r="U80" s="6">
        <v>0</v>
      </c>
    </row>
    <row r="81" spans="1:21" x14ac:dyDescent="0.2">
      <c r="A81" s="6" t="s">
        <v>168</v>
      </c>
      <c r="B81" s="6" t="s">
        <v>169</v>
      </c>
      <c r="C81" s="6" t="s">
        <v>43</v>
      </c>
      <c r="D81" s="6" t="s">
        <v>170</v>
      </c>
      <c r="E81" s="6">
        <v>8.9999999999999998E-4</v>
      </c>
      <c r="F81" s="6">
        <v>2.7000000000000001E-3</v>
      </c>
      <c r="G81" s="6" t="s">
        <v>281</v>
      </c>
      <c r="H81" s="6"/>
      <c r="I81" s="6"/>
      <c r="J81" s="6" t="str">
        <f>IF(ISBLANK(Table1[[#This Row],[newMean]]),Table1[[#This Row],[Root Definition]],Table1[[#This Row],[newMean]])</f>
        <v>0.0018</v>
      </c>
      <c r="K81" s="6">
        <f>IF(ISBLANK(Table1[[#This Row],[newSD]]),(Table1[[#This Row],[High]]-Table1[[#This Row],[Root Definition]])/2,Table1[[#This Row],[newSD]])</f>
        <v>4.500000000000001E-4</v>
      </c>
      <c r="L81" s="13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8.2498139247784985E-3</v>
      </c>
      <c r="M81" s="13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0.96561685640016048</v>
      </c>
      <c r="N81" s="14">
        <v>51</v>
      </c>
      <c r="O81" s="6" t="str">
        <f>G81</f>
        <v>Beta</v>
      </c>
      <c r="P81" s="6" t="str">
        <f>CONCATENATE("dist_",A81)</f>
        <v>dist_pHosp_Wheeze_TIV</v>
      </c>
      <c r="Q81" s="6"/>
      <c r="R81" s="7">
        <f>IF(Table1[[#This Row],[dist]]="Gamma",Table1[[#This Row],[mean]]^2/Table1[[#This Row],[SD]]^2,IF(Table1[[#This Row],[dist]]="Beta",(((Table1[[#This Row],[mean]])^2)*(1-(Table1[[#This Row],[mean]]))/((Table1[[#This Row],[SD]])^2)-(Table1[[#This Row],[mean]])),0))</f>
        <v>15.969399999999991</v>
      </c>
      <c r="S81" s="7">
        <f>IF(Table1[[#This Row],[dist]]="Gamma",Table1[[#This Row],[mean]]/Table1[[#This Row],[SD]]^2,IF(Table1[[#This Row],[dist]]="Beta",((1-(Table1[[#This Row],[mean]]))*(((1-(Table1[[#This Row],[mean]]))*(Table1[[#This Row],[mean]]))/((Table1[[#This Row],[SD]])^2)-1)),0))</f>
        <v>8855.9194888888833</v>
      </c>
      <c r="T81" s="6"/>
      <c r="U81" s="6">
        <v>0</v>
      </c>
    </row>
    <row r="82" spans="1:21" x14ac:dyDescent="0.2">
      <c r="A82" s="6" t="s">
        <v>5</v>
      </c>
      <c r="B82" s="6" t="s">
        <v>6</v>
      </c>
      <c r="C82" s="6" t="s">
        <v>7</v>
      </c>
      <c r="D82" s="6" t="s">
        <v>8</v>
      </c>
      <c r="E82" s="6">
        <v>0.1108</v>
      </c>
      <c r="F82" s="6">
        <v>0.12280000000000001</v>
      </c>
      <c r="G82" s="6" t="s">
        <v>281</v>
      </c>
      <c r="H82" s="6"/>
      <c r="I82" s="6"/>
      <c r="J82" s="6" t="str">
        <f>IF(ISBLANK(Table1[[#This Row],[newMean]]),Table1[[#This Row],[Root Definition]],Table1[[#This Row],[newMean]])</f>
        <v>0.1168</v>
      </c>
      <c r="K82" s="6">
        <f>IF(ISBLANK(Table1[[#This Row],[newSD]]),(Table1[[#This Row],[High]]-Table1[[#This Row],[Root Definition]])/2,Table1[[#This Row],[newSD]])</f>
        <v>3.0000000000000027E-3</v>
      </c>
      <c r="L82" s="13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2.1530936546131169E-2</v>
      </c>
      <c r="M82" s="13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0.97606218407952838</v>
      </c>
      <c r="N82" s="14">
        <v>52</v>
      </c>
      <c r="O82" s="6" t="str">
        <f>G82</f>
        <v>Beta</v>
      </c>
      <c r="P82" s="6" t="str">
        <f>CONCATENATE("dist_",A82)</f>
        <v>dist_pLAIV_contraindication</v>
      </c>
      <c r="Q82" s="6"/>
      <c r="R82" s="7">
        <f>IF(Table1[[#This Row],[dist]]="Gamma",Table1[[#This Row],[mean]]^2/Table1[[#This Row],[SD]]^2,IF(Table1[[#This Row],[dist]]="Beta",(((Table1[[#This Row],[mean]])^2)*(1-(Table1[[#This Row],[mean]]))/((Table1[[#This Row],[SD]])^2)-(Table1[[#This Row],[mean]])),0))</f>
        <v>1338.641685333331</v>
      </c>
      <c r="S82" s="7">
        <f>IF(Table1[[#This Row],[dist]]="Gamma",Table1[[#This Row],[mean]]/Table1[[#This Row],[SD]]^2,IF(Table1[[#This Row],[dist]]="Beta",((1-(Table1[[#This Row],[mean]]))*(((1-(Table1[[#This Row],[mean]]))*(Table1[[#This Row],[mean]]))/((Table1[[#This Row],[SD]])^2)-1)),0))</f>
        <v>10122.331647999983</v>
      </c>
      <c r="T82" s="6"/>
      <c r="U82" s="6">
        <v>0</v>
      </c>
    </row>
    <row r="83" spans="1:21" hidden="1" x14ac:dyDescent="0.2">
      <c r="A83" s="6" t="s">
        <v>154</v>
      </c>
      <c r="B83" s="6" t="s">
        <v>155</v>
      </c>
      <c r="C83" s="6" t="s">
        <v>13</v>
      </c>
      <c r="D83" s="6" t="s">
        <v>156</v>
      </c>
      <c r="E83" s="6">
        <v>0</v>
      </c>
      <c r="F83" s="6">
        <v>0</v>
      </c>
      <c r="G83" s="6"/>
      <c r="H83" s="6"/>
      <c r="I83" s="6"/>
      <c r="J83" s="6" t="str">
        <f>IF(ISBLANK(Table1[[#This Row],[newMean]]),Table1[[#This Row],[Root Definition]],Table1[[#This Row],[newMean]])</f>
        <v>( pGetVax * (VAX_MONTHLY[_stage] - VAX_MONTHLY[_stage-1])) / (1 - pGetVax *  VAX_MONTHLY[_stage-1] )</v>
      </c>
      <c r="K83" s="6"/>
      <c r="L83" s="8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0</v>
      </c>
      <c r="M83" s="9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</v>
      </c>
      <c r="N83" s="4"/>
      <c r="O83" s="6"/>
      <c r="P83" s="6"/>
      <c r="Q83" s="6"/>
      <c r="R83" s="6"/>
      <c r="S83" s="6"/>
      <c r="T83" s="6"/>
      <c r="U83" s="6"/>
    </row>
    <row r="84" spans="1:21" hidden="1" x14ac:dyDescent="0.2">
      <c r="A84" s="6" t="s">
        <v>157</v>
      </c>
      <c r="B84" s="6" t="s">
        <v>158</v>
      </c>
      <c r="C84" s="6" t="s">
        <v>13</v>
      </c>
      <c r="D84" s="6" t="s">
        <v>154</v>
      </c>
      <c r="E84" s="6">
        <v>0</v>
      </c>
      <c r="F84" s="6">
        <v>0</v>
      </c>
      <c r="G84" s="6"/>
      <c r="H84" s="6"/>
      <c r="I84" s="6"/>
      <c r="J84" s="6" t="str">
        <f>IF(ISBLANK(Table1[[#This Row],[newMean]]),Table1[[#This Row],[Root Definition]],Table1[[#This Row],[newMean]])</f>
        <v>pVaccinated_Monthly_LAIV</v>
      </c>
      <c r="K84" s="6"/>
      <c r="L84" s="8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0</v>
      </c>
      <c r="M84" s="9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</v>
      </c>
      <c r="N84" s="4"/>
      <c r="O84" s="6"/>
      <c r="P84" s="6"/>
      <c r="Q84" s="6"/>
      <c r="R84" s="6"/>
      <c r="S84" s="6"/>
      <c r="T84" s="6"/>
      <c r="U84" s="6"/>
    </row>
    <row r="85" spans="1:21" x14ac:dyDescent="0.2">
      <c r="A85" s="3" t="s">
        <v>232</v>
      </c>
      <c r="B85" s="3" t="s">
        <v>233</v>
      </c>
      <c r="C85" s="3" t="s">
        <v>173</v>
      </c>
      <c r="D85" s="3" t="s">
        <v>220</v>
      </c>
      <c r="E85" s="3">
        <v>0.7</v>
      </c>
      <c r="F85" s="3">
        <v>1</v>
      </c>
      <c r="G85" s="3" t="s">
        <v>281</v>
      </c>
      <c r="H85" s="3"/>
      <c r="I85" s="3"/>
      <c r="J85" s="6" t="str">
        <f>IF(ISBLANK(Table1[[#This Row],[newMean]]),Table1[[#This Row],[Root Definition]],Table1[[#This Row],[newMean]])</f>
        <v>1</v>
      </c>
      <c r="K85" s="6">
        <f>IF(I85&gt;0,I85,(F85-D85)/2)</f>
        <v>0</v>
      </c>
      <c r="L85" s="13" t="e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#DIV/0!</v>
      </c>
      <c r="M85" s="13" t="e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#DIV/0!</v>
      </c>
      <c r="N85" s="14">
        <v>10</v>
      </c>
      <c r="O85" s="6" t="str">
        <f>G85</f>
        <v>Beta</v>
      </c>
      <c r="P85" s="6" t="str">
        <f>CONCATENATE("dist_",A85)</f>
        <v>dist_pVisitMD_AOM</v>
      </c>
      <c r="Q85" s="3"/>
      <c r="R85" s="7" t="e">
        <f>IF(Table1[[#This Row],[dist]]="Gamma",Table1[[#This Row],[mean]]^2/Table1[[#This Row],[SD]]^2,IF(Table1[[#This Row],[dist]]="Beta",(((Table1[[#This Row],[mean]])^2)*(1-(Table1[[#This Row],[mean]]))/((Table1[[#This Row],[SD]])^2)-(Table1[[#This Row],[mean]])),0))</f>
        <v>#DIV/0!</v>
      </c>
      <c r="S85" s="7" t="e">
        <f>IF(Table1[[#This Row],[dist]]="Gamma",Table1[[#This Row],[mean]]/Table1[[#This Row],[SD]]^2,IF(Table1[[#This Row],[dist]]="Beta",((1-(Table1[[#This Row],[mean]]))*(((1-(Table1[[#This Row],[mean]]))*(Table1[[#This Row],[mean]]))/((Table1[[#This Row],[SD]])^2)-1)),0))</f>
        <v>#DIV/0!</v>
      </c>
      <c r="T85" s="3"/>
      <c r="U85" s="6">
        <v>0</v>
      </c>
    </row>
    <row r="86" spans="1:21" x14ac:dyDescent="0.2">
      <c r="A86" s="6" t="s">
        <v>221</v>
      </c>
      <c r="B86" s="6" t="s">
        <v>222</v>
      </c>
      <c r="C86" s="6" t="s">
        <v>223</v>
      </c>
      <c r="D86" s="6" t="s">
        <v>224</v>
      </c>
      <c r="E86" s="6">
        <v>0.3</v>
      </c>
      <c r="F86" s="6">
        <v>0.5</v>
      </c>
      <c r="G86" s="6" t="s">
        <v>281</v>
      </c>
      <c r="H86" s="6"/>
      <c r="I86" s="6"/>
      <c r="J86" s="6" t="str">
        <f>IF(ISBLANK(Table1[[#This Row],[newMean]]),Table1[[#This Row],[Root Definition]],Table1[[#This Row],[newMean]])</f>
        <v>0.40</v>
      </c>
      <c r="K86" s="6">
        <f>IF(ISBLANK(Table1[[#This Row],[newSD]]),(Table1[[#This Row],[High]]-Table1[[#This Row],[Root Definition]])/2,Table1[[#This Row],[newSD]])</f>
        <v>4.9999999999999989E-2</v>
      </c>
      <c r="L86" s="13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2.0088834805650272E-2</v>
      </c>
      <c r="M86" s="13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0.9752749673734098</v>
      </c>
      <c r="N86" s="14">
        <v>53</v>
      </c>
      <c r="O86" s="6" t="str">
        <f>G86</f>
        <v>Beta</v>
      </c>
      <c r="P86" s="6" t="str">
        <f>CONCATENATE("dist_",A86)</f>
        <v>dist_pVisitMD_Flu</v>
      </c>
      <c r="Q86" s="6"/>
      <c r="R86" s="7">
        <f>IF(Table1[[#This Row],[dist]]="Gamma",Table1[[#This Row],[mean]]^2/Table1[[#This Row],[SD]]^2,IF(Table1[[#This Row],[dist]]="Beta",(((Table1[[#This Row],[mean]])^2)*(1-(Table1[[#This Row],[mean]]))/((Table1[[#This Row],[SD]])^2)-(Table1[[#This Row],[mean]])),0))</f>
        <v>38.000000000000028</v>
      </c>
      <c r="S86" s="7">
        <f>IF(Table1[[#This Row],[dist]]="Gamma",Table1[[#This Row],[mean]]/Table1[[#This Row],[SD]]^2,IF(Table1[[#This Row],[dist]]="Beta",((1-(Table1[[#This Row],[mean]]))*(((1-(Table1[[#This Row],[mean]]))*(Table1[[#This Row],[mean]]))/((Table1[[#This Row],[SD]])^2)-1)),0))</f>
        <v>57.000000000000021</v>
      </c>
      <c r="T86" s="6"/>
      <c r="U86" s="6">
        <v>0</v>
      </c>
    </row>
    <row r="87" spans="1:21" x14ac:dyDescent="0.2">
      <c r="A87" s="3" t="s">
        <v>227</v>
      </c>
      <c r="B87" s="3" t="s">
        <v>228</v>
      </c>
      <c r="C87" s="3" t="s">
        <v>173</v>
      </c>
      <c r="D87" s="3" t="s">
        <v>220</v>
      </c>
      <c r="E87" s="3">
        <v>0.7</v>
      </c>
      <c r="F87" s="3">
        <v>1</v>
      </c>
      <c r="G87" s="3" t="s">
        <v>285</v>
      </c>
      <c r="H87" s="3"/>
      <c r="I87" s="3"/>
      <c r="J87" s="6" t="str">
        <f>IF(ISBLANK(Table1[[#This Row],[newMean]]),Table1[[#This Row],[Root Definition]],Table1[[#This Row],[newMean]])</f>
        <v>1</v>
      </c>
      <c r="K87" s="6">
        <f>IF(I87&gt;0,I87,(F87-D87)/2)</f>
        <v>0</v>
      </c>
      <c r="L87" s="13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0</v>
      </c>
      <c r="M87" s="13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</v>
      </c>
      <c r="N87" s="14">
        <v>11</v>
      </c>
      <c r="O87" s="6" t="str">
        <f>G87</f>
        <v>Poisson</v>
      </c>
      <c r="P87" s="6" t="str">
        <f>CONCATENATE("dist_",A87)</f>
        <v>dist_pVisitMD_LRI</v>
      </c>
      <c r="Q87" s="3"/>
      <c r="R87" s="7">
        <f>IF(Table1[[#This Row],[dist]]="Gamma",Table1[[#This Row],[mean]]^2/Table1[[#This Row],[SD]]^2,IF(Table1[[#This Row],[dist]]="Beta",(((Table1[[#This Row],[mean]])^2)*(1-(Table1[[#This Row],[mean]]))/((Table1[[#This Row],[SD]])^2)-(Table1[[#This Row],[mean]])),0))</f>
        <v>0</v>
      </c>
      <c r="S87" s="7">
        <f>IF(Table1[[#This Row],[dist]]="Gamma",Table1[[#This Row],[mean]]/Table1[[#This Row],[SD]]^2,IF(Table1[[#This Row],[dist]]="Beta",((1-(Table1[[#This Row],[mean]]))*(((1-(Table1[[#This Row],[mean]]))*(Table1[[#This Row],[mean]]))/((Table1[[#This Row],[SD]])^2)-1)),0))</f>
        <v>0</v>
      </c>
      <c r="T87" s="3"/>
      <c r="U87" s="6">
        <v>0</v>
      </c>
    </row>
    <row r="88" spans="1:21" x14ac:dyDescent="0.2">
      <c r="A88" s="3" t="s">
        <v>256</v>
      </c>
      <c r="B88" s="3" t="s">
        <v>257</v>
      </c>
      <c r="C88" s="3" t="s">
        <v>258</v>
      </c>
      <c r="D88" s="3" t="s">
        <v>259</v>
      </c>
      <c r="E88" s="3">
        <v>0.3</v>
      </c>
      <c r="F88" s="3">
        <v>0.73</v>
      </c>
      <c r="G88" s="3" t="s">
        <v>287</v>
      </c>
      <c r="H88" s="3"/>
      <c r="I88" s="3"/>
      <c r="J88" s="6" t="str">
        <f>IF(ISBLANK(Table1[[#This Row],[newMean]]),Table1[[#This Row],[Root Definition]],Table1[[#This Row],[newMean]])</f>
        <v>0.47</v>
      </c>
      <c r="K88" s="6">
        <f>IF(I88&gt;0,I88,(F88-D88)/2)</f>
        <v>0.13</v>
      </c>
      <c r="L88" s="13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0</v>
      </c>
      <c r="M88" s="13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</v>
      </c>
      <c r="N88" s="14">
        <v>1</v>
      </c>
      <c r="O88" s="6" t="str">
        <f>G88</f>
        <v>LogNormal</v>
      </c>
      <c r="P88" s="6" t="str">
        <f>CONCATENATE("dist_",A88)</f>
        <v>dist_RR_AOM_LAIVvsTIV</v>
      </c>
      <c r="Q88" s="3"/>
      <c r="R88" s="7">
        <f>IF(Table1[[#This Row],[dist]]="Gamma",Table1[[#This Row],[mean]]^2/Table1[[#This Row],[SD]]^2,IF(Table1[[#This Row],[dist]]="Beta",(((Table1[[#This Row],[mean]])^2)*(1-(Table1[[#This Row],[mean]]))/((Table1[[#This Row],[SD]])^2)-(Table1[[#This Row],[mean]])),0))</f>
        <v>0</v>
      </c>
      <c r="S88" s="7">
        <f>IF(Table1[[#This Row],[dist]]="Gamma",Table1[[#This Row],[mean]]/Table1[[#This Row],[SD]]^2,IF(Table1[[#This Row],[dist]]="Beta",((1-(Table1[[#This Row],[mean]]))*(((1-(Table1[[#This Row],[mean]]))*(Table1[[#This Row],[mean]]))/((Table1[[#This Row],[SD]])^2)-1)),0))</f>
        <v>0</v>
      </c>
      <c r="T88" s="6"/>
      <c r="U88" s="6">
        <v>0</v>
      </c>
    </row>
    <row r="89" spans="1:21" x14ac:dyDescent="0.2">
      <c r="A89" s="6" t="s">
        <v>185</v>
      </c>
      <c r="B89" s="6" t="s">
        <v>186</v>
      </c>
      <c r="C89" s="6" t="s">
        <v>173</v>
      </c>
      <c r="D89" s="6" t="s">
        <v>187</v>
      </c>
      <c r="E89" s="6">
        <v>0.3</v>
      </c>
      <c r="F89" s="6">
        <v>0.8</v>
      </c>
      <c r="G89" s="6" t="s">
        <v>281</v>
      </c>
      <c r="H89" s="6"/>
      <c r="I89" s="6">
        <v>0.13</v>
      </c>
      <c r="J89" s="6" t="str">
        <f>IF(ISBLANK(Table1[[#This Row],[newMean]]),Table1[[#This Row],[Root Definition]],Table1[[#This Row],[newMean]])</f>
        <v>0.558</v>
      </c>
      <c r="K89" s="6">
        <f>IF(ISBLANK(Table1[[#This Row],[newSD]]),(Table1[[#This Row],[High]]-Table1[[#This Row],[Root Definition]])/2,Table1[[#This Row],[newSD]])</f>
        <v>0.13</v>
      </c>
      <c r="L89" s="13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2.5117844457160983E-2</v>
      </c>
      <c r="M89" s="13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0.97494618858300486</v>
      </c>
      <c r="N89" s="14">
        <v>54</v>
      </c>
      <c r="O89" s="6" t="str">
        <f>G89</f>
        <v>Beta</v>
      </c>
      <c r="P89" s="6" t="str">
        <f>CONCATENATE("dist_",A89)</f>
        <v>dist_uFlu</v>
      </c>
      <c r="Q89" s="6"/>
      <c r="R89" s="7">
        <f>IF(Table1[[#This Row],[dist]]="Gamma",Table1[[#This Row],[mean]]^2/Table1[[#This Row],[SD]]^2,IF(Table1[[#This Row],[dist]]="Beta",(((Table1[[#This Row],[mean]])^2)*(1-(Table1[[#This Row],[mean]]))/((Table1[[#This Row],[SD]])^2)-(Table1[[#This Row],[mean]])),0))</f>
        <v>7.5853661538461541</v>
      </c>
      <c r="S89" s="7">
        <f>IF(Table1[[#This Row],[dist]]="Gamma",Table1[[#This Row],[mean]]/Table1[[#This Row],[SD]]^2,IF(Table1[[#This Row],[dist]]="Beta",((1-(Table1[[#This Row],[mean]]))*(((1-(Table1[[#This Row],[mean]]))*(Table1[[#This Row],[mean]]))/((Table1[[#This Row],[SD]])^2)-1)),0))</f>
        <v>6.0084799999999987</v>
      </c>
      <c r="T89" s="6"/>
      <c r="U89" s="6">
        <v>0</v>
      </c>
    </row>
    <row r="90" spans="1:21" s="3" customFormat="1" x14ac:dyDescent="0.2">
      <c r="A90" s="6" t="s">
        <v>176</v>
      </c>
      <c r="B90" s="6" t="s">
        <v>177</v>
      </c>
      <c r="C90" s="6" t="s">
        <v>173</v>
      </c>
      <c r="D90" s="6" t="s">
        <v>178</v>
      </c>
      <c r="E90" s="6">
        <v>0.7</v>
      </c>
      <c r="F90" s="6">
        <v>0.95</v>
      </c>
      <c r="G90" s="6" t="s">
        <v>281</v>
      </c>
      <c r="H90" s="6"/>
      <c r="I90" s="6">
        <v>0.06</v>
      </c>
      <c r="J90" s="6" t="str">
        <f>IF(ISBLANK(Table1[[#This Row],[newMean]]),Table1[[#This Row],[Root Definition]],Table1[[#This Row],[newMean]])</f>
        <v>0.851</v>
      </c>
      <c r="K90" s="6">
        <f>IF(ISBLANK(Table1[[#This Row],[newSD]]),(Table1[[#This Row],[High]]-Table1[[#This Row],[Root Definition]])/2,Table1[[#This Row],[newSD]])</f>
        <v>0.06</v>
      </c>
      <c r="L90" s="13">
        <f>IF(Table1[[#This Row],[dist]]="Gamma",_xlfn.GAMMA.DIST(Table1[[#This Row],[Low]],Table1[[#This Row],[Param 1]],1/Table1[[#This Row],[Param 2]],TRUE),IF(Table1[[#This Row],[dist]]="Beta",_xlfn.BETA.DIST(Table1[[#This Row],[Low]],Table1[[#This Row],[Param 1]],Table1[[#This Row],[Param 2]],TRUE),))</f>
        <v>1.5755223454794087E-2</v>
      </c>
      <c r="M90" s="13">
        <f>IF(Table1[[#This Row],[dist]]="Gamma",_xlfn.GAMMA.DIST(Table1[[#This Row],[High]],Table1[[#This Row],[Param 1]],1/Table1[[#This Row],[Param 2]],TRUE),IF(Table1[[#This Row],[dist]]="Beta",_xlfn.BETA.DIST(Table1[[#This Row],[High]],Table1[[#This Row],[Param 1]],Table1[[#This Row],[Param 2]],TRUE),))</f>
        <v>0.97933215333064383</v>
      </c>
      <c r="N90" s="14">
        <v>55</v>
      </c>
      <c r="O90" s="6" t="str">
        <f>G90</f>
        <v>Beta</v>
      </c>
      <c r="P90" s="6" t="str">
        <f>CONCATENATE("dist_",A90)</f>
        <v>dist_uWheeze</v>
      </c>
      <c r="Q90" s="6"/>
      <c r="R90" s="7">
        <f>IF(Table1[[#This Row],[dist]]="Gamma",Table1[[#This Row],[mean]]^2/Table1[[#This Row],[SD]]^2,IF(Table1[[#This Row],[dist]]="Beta",(((Table1[[#This Row],[mean]])^2)*(1-(Table1[[#This Row],[mean]]))/((Table1[[#This Row],[SD]])^2)-(Table1[[#This Row],[mean]])),0))</f>
        <v>29.122874722222228</v>
      </c>
      <c r="S90" s="7">
        <f>IF(Table1[[#This Row],[dist]]="Gamma",Table1[[#This Row],[mean]]/Table1[[#This Row],[SD]]^2,IF(Table1[[#This Row],[dist]]="Beta",((1-(Table1[[#This Row],[mean]]))*(((1-(Table1[[#This Row],[mean]]))*(Table1[[#This Row],[mean]]))/((Table1[[#This Row],[SD]])^2)-1)),0))</f>
        <v>5.0990697222222243</v>
      </c>
      <c r="T90" s="6"/>
      <c r="U90" s="6">
        <v>0</v>
      </c>
    </row>
    <row r="95" spans="1:21" x14ac:dyDescent="0.2">
      <c r="D95" s="6"/>
      <c r="J95"/>
      <c r="K95" s="6"/>
    </row>
    <row r="96" spans="1:21" x14ac:dyDescent="0.2">
      <c r="D96" s="6"/>
      <c r="J96"/>
      <c r="K96" s="6"/>
    </row>
    <row r="97" spans="4:11" x14ac:dyDescent="0.2">
      <c r="D97" s="6"/>
      <c r="J97"/>
      <c r="K97" s="6"/>
    </row>
  </sheetData>
  <conditionalFormatting sqref="L2:L87">
    <cfRule type="cellIs" dxfId="5" priority="2" operator="between">
      <formula>0.008</formula>
      <formula>0.08</formula>
    </cfRule>
  </conditionalFormatting>
  <conditionalFormatting sqref="M2:M87">
    <cfRule type="cellIs" dxfId="4" priority="1" operator="between">
      <formula>0.95</formula>
      <formula>0.98</formula>
    </cfRule>
  </conditionalFormatting>
  <pageMargins left="0.75" right="0.75" top="1" bottom="1" header="0.5" footer="0.5"/>
  <pageSetup orientation="portrait" horizontalDpi="300" verticalDpi="300" r:id="rId1"/>
  <headerFooter alignWithMargins="0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Variables</vt:lpstr>
      <vt:lpstr>Variables!table1start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Smith, Kenneth</dc:creator>
  <cp:lastModifiedBy>Jonathan Raviotta</cp:lastModifiedBy>
  <dcterms:created xsi:type="dcterms:W3CDTF">2014-10-29T12:07:56Z</dcterms:created>
  <dcterms:modified xsi:type="dcterms:W3CDTF">2014-11-04T19:55:40Z</dcterms:modified>
</cp:coreProperties>
</file>