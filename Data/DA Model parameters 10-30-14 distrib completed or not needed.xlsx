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25230" windowHeight="6480"/>
  </bookViews>
  <sheets>
    <sheet name="Variables" sheetId="1" r:id="rId1"/>
  </sheets>
  <definedNames>
    <definedName name="sheetvariables" localSheetId="0">Variables!#REF!</definedName>
    <definedName name="table1start" localSheetId="0">Variables!$A$1</definedName>
  </definedNames>
  <calcPr calcId="145621"/>
</workbook>
</file>

<file path=xl/calcChain.xml><?xml version="1.0" encoding="utf-8"?>
<calcChain xmlns="http://schemas.openxmlformats.org/spreadsheetml/2006/main">
  <c r="U4" i="1" l="1"/>
  <c r="U14" i="1"/>
  <c r="U15" i="1"/>
  <c r="U16" i="1"/>
  <c r="U17" i="1"/>
  <c r="U18" i="1"/>
  <c r="U19" i="1"/>
  <c r="U20" i="1"/>
  <c r="U91" i="1"/>
  <c r="U92" i="1"/>
  <c r="U21" i="1"/>
  <c r="U22" i="1"/>
  <c r="U23" i="1"/>
  <c r="U24" i="1"/>
  <c r="U25" i="1"/>
  <c r="U26" i="1"/>
  <c r="U93" i="1"/>
  <c r="U27" i="1"/>
  <c r="U94" i="1"/>
  <c r="U34" i="1"/>
  <c r="U35" i="1"/>
  <c r="U95" i="1"/>
  <c r="U36" i="1"/>
  <c r="U37" i="1"/>
  <c r="U38" i="1"/>
  <c r="U96" i="1"/>
  <c r="U39" i="1"/>
  <c r="U40" i="1"/>
  <c r="U41" i="1"/>
  <c r="U42" i="1"/>
  <c r="U97" i="1"/>
  <c r="U43" i="1"/>
  <c r="U44" i="1"/>
  <c r="U45" i="1"/>
  <c r="U46" i="1"/>
  <c r="U47" i="1"/>
  <c r="U48" i="1"/>
  <c r="U49" i="1"/>
  <c r="U50" i="1"/>
  <c r="U51" i="1"/>
  <c r="U98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99" i="1"/>
  <c r="U69" i="1"/>
  <c r="U70" i="1"/>
  <c r="U100" i="1"/>
  <c r="U71" i="1"/>
  <c r="U72" i="1"/>
  <c r="U73" i="1"/>
  <c r="U101" i="1"/>
  <c r="U74" i="1"/>
  <c r="U75" i="1"/>
  <c r="U76" i="1"/>
  <c r="U102" i="1"/>
  <c r="U77" i="1"/>
  <c r="U78" i="1"/>
  <c r="U79" i="1"/>
  <c r="U103" i="1"/>
  <c r="U80" i="1"/>
  <c r="U81" i="1"/>
  <c r="U104" i="1"/>
  <c r="U82" i="1"/>
  <c r="U105" i="1"/>
  <c r="U83" i="1"/>
  <c r="U84" i="1"/>
  <c r="U106" i="1"/>
  <c r="U85" i="1"/>
  <c r="U86" i="1"/>
  <c r="U87" i="1"/>
  <c r="U107" i="1"/>
  <c r="U52" i="1"/>
  <c r="U53" i="1"/>
  <c r="U54" i="1"/>
  <c r="U55" i="1"/>
  <c r="U88" i="1"/>
  <c r="U108" i="1"/>
  <c r="U28" i="1"/>
  <c r="U29" i="1"/>
  <c r="U30" i="1"/>
  <c r="U31" i="1"/>
  <c r="U32" i="1"/>
  <c r="U33" i="1"/>
  <c r="U109" i="1"/>
  <c r="U89" i="1"/>
  <c r="U90" i="1"/>
  <c r="M3" i="1"/>
  <c r="S3" i="1" s="1"/>
  <c r="L3" i="1"/>
  <c r="M13" i="1"/>
  <c r="U13" i="1" s="1"/>
  <c r="L13" i="1"/>
  <c r="M12" i="1"/>
  <c r="U12" i="1" s="1"/>
  <c r="L12" i="1"/>
  <c r="M11" i="1"/>
  <c r="U11" i="1" s="1"/>
  <c r="L11" i="1"/>
  <c r="M10" i="1"/>
  <c r="U10" i="1" s="1"/>
  <c r="L10" i="1"/>
  <c r="M9" i="1"/>
  <c r="U9" i="1" s="1"/>
  <c r="L9" i="1"/>
  <c r="M8" i="1"/>
  <c r="U8" i="1" s="1"/>
  <c r="L8" i="1"/>
  <c r="M6" i="1"/>
  <c r="S6" i="1" s="1"/>
  <c r="L6" i="1"/>
  <c r="M7" i="1"/>
  <c r="U7" i="1" s="1"/>
  <c r="L7" i="1"/>
  <c r="M5" i="1"/>
  <c r="S5" i="1" s="1"/>
  <c r="L5" i="1"/>
  <c r="M2" i="1"/>
  <c r="S2" i="1" s="1"/>
  <c r="L2" i="1"/>
  <c r="J13" i="1"/>
  <c r="O13" i="1" s="1"/>
  <c r="J12" i="1"/>
  <c r="P12" i="1" s="1"/>
  <c r="J11" i="1"/>
  <c r="P11" i="1" s="1"/>
  <c r="J7" i="1"/>
  <c r="J6" i="1"/>
  <c r="O6" i="1" s="1"/>
  <c r="J8" i="1"/>
  <c r="P8" i="1" s="1"/>
  <c r="J9" i="1"/>
  <c r="O9" i="1" s="1"/>
  <c r="J10" i="1"/>
  <c r="P10" i="1" s="1"/>
  <c r="J5" i="1"/>
  <c r="O5" i="1" s="1"/>
  <c r="J3" i="1"/>
  <c r="P3" i="1" s="1"/>
  <c r="J2" i="1"/>
  <c r="P2" i="1" s="1"/>
  <c r="U5" i="1" l="1"/>
  <c r="U3" i="1"/>
  <c r="U6" i="1"/>
  <c r="U2" i="1"/>
  <c r="P5" i="1"/>
  <c r="O11" i="1"/>
  <c r="O10" i="1"/>
  <c r="P13" i="1"/>
  <c r="O7" i="1"/>
  <c r="O3" i="1"/>
  <c r="P7" i="1"/>
  <c r="O8" i="1"/>
  <c r="O12" i="1"/>
  <c r="P6" i="1"/>
  <c r="P9" i="1"/>
  <c r="O2" i="1"/>
</calcChain>
</file>

<file path=xl/sharedStrings.xml><?xml version="1.0" encoding="utf-8"?>
<sst xmlns="http://schemas.openxmlformats.org/spreadsheetml/2006/main" count="402" uniqueCount="292">
  <si>
    <r>
      <rPr>
        <b/>
        <u/>
        <sz val="10"/>
        <rFont val="Arial"/>
        <family val="2"/>
      </rPr>
      <t>Name</t>
    </r>
  </si>
  <si>
    <r>
      <rPr>
        <b/>
        <u/>
        <sz val="10"/>
        <rFont val="Arial"/>
        <family val="2"/>
      </rPr>
      <t>Description</t>
    </r>
  </si>
  <si>
    <r>
      <rPr>
        <b/>
        <u/>
        <sz val="10"/>
        <rFont val="Arial"/>
        <family val="2"/>
      </rPr>
      <t>Root Definition</t>
    </r>
  </si>
  <si>
    <r>
      <rPr>
        <b/>
        <u/>
        <sz val="10"/>
        <rFont val="Arial"/>
        <family val="2"/>
      </rPr>
      <t>Low</t>
    </r>
  </si>
  <si>
    <r>
      <rPr>
        <b/>
        <u/>
        <sz val="10"/>
        <rFont val="Arial"/>
        <family val="2"/>
      </rPr>
      <t>High</t>
    </r>
  </si>
  <si>
    <t>pLAIV_contraindication</t>
  </si>
  <si>
    <t>Probability patient has LAIV contraindication (Zimmerman et al 2010)</t>
  </si>
  <si>
    <t>comment</t>
  </si>
  <si>
    <t>0.1168</t>
  </si>
  <si>
    <t>pFlu</t>
  </si>
  <si>
    <t>Probability of contracting flu given no vaccination</t>
  </si>
  <si>
    <t>SA based on R0 of 1.2 to 2.0 (base 1.6)</t>
  </si>
  <si>
    <t>0.28</t>
  </si>
  <si>
    <t/>
  </si>
  <si>
    <t>cFluTotal</t>
  </si>
  <si>
    <t>Total of all flu costs</t>
  </si>
  <si>
    <t>(pGetFlu_Rx * cFluRx) + (pVisitMD_Flu * cFlu_MD * numVisits_Flu) + (cNonMed_Daily * daysFlu)</t>
  </si>
  <si>
    <t>dr</t>
  </si>
  <si>
    <t>Discount rate</t>
  </si>
  <si>
    <t>0.03</t>
  </si>
  <si>
    <t>duFlu</t>
  </si>
  <si>
    <t>Disutility of flu (Luce)</t>
  </si>
  <si>
    <t>(1-uFlu) * (daysFlu/365)</t>
  </si>
  <si>
    <t>cLRI_Total</t>
  </si>
  <si>
    <t>Cost total of lower respiratory infection (assumed same as AOM)</t>
  </si>
  <si>
    <t>cLRI_meds + (pGetFlu_Rx * cFluRx) + (pVisitMD_LRI * cFlu_MD * numVisits_LRI) + (cNonMed_Daily * daysLRI)</t>
  </si>
  <si>
    <t>cAOM_Total</t>
  </si>
  <si>
    <t>Cost total of Acute Otitis Media</t>
  </si>
  <si>
    <t>cAOM_meds + (pGetFlu_Rx * cFluRx) + (pVisitMD_AOM * cFlu_MD * numVisits_AOM) + (cNonMed_Daily * daysAOM)</t>
  </si>
  <si>
    <t>duLRI</t>
  </si>
  <si>
    <t>Disutility of lower respiratory infection (Luce)</t>
  </si>
  <si>
    <t>(1-uFlu) * (daysLRI/365)</t>
  </si>
  <si>
    <t>duAOM</t>
  </si>
  <si>
    <t>Disutility of acute otitis media (Luce)</t>
  </si>
  <si>
    <t>(1-uFlu) * (daysAOM/365)</t>
  </si>
  <si>
    <t>pFlu_AOM</t>
  </si>
  <si>
    <t>Probability of acute otitis media given vax- and flu+</t>
  </si>
  <si>
    <t>pFlu * Percent_AOM</t>
  </si>
  <si>
    <t>pFlu_LRI</t>
  </si>
  <si>
    <t>Probability of lower respiratory infection given vax- and flu+</t>
  </si>
  <si>
    <t>pFlu * Percent_LRI</t>
  </si>
  <si>
    <t>cLAIV</t>
  </si>
  <si>
    <t>Cost of LAIV dose  (FluMist - 2014 CDC Ped Influenza Price List, private sector cost)</t>
  </si>
  <si>
    <t>SA 50%-150% of base</t>
  </si>
  <si>
    <t>22.70</t>
  </si>
  <si>
    <t>cTIV</t>
  </si>
  <si>
    <t>Cost of TIV dose (Fluzone - 2014 CDC Ped Influenza Price List, private sector cost)</t>
  </si>
  <si>
    <t>10.69</t>
  </si>
  <si>
    <t>pAE_Wheeze_LAIV</t>
  </si>
  <si>
    <t>Probability of wheeze adverse event from LAIV (Luce)</t>
  </si>
  <si>
    <t>0.0215</t>
  </si>
  <si>
    <t>pAE_Wheeze_TIV</t>
  </si>
  <si>
    <t>Probability of wheeze adverse event from TIV (Luce)</t>
  </si>
  <si>
    <t>0.0255</t>
  </si>
  <si>
    <t>pDie_Flu</t>
  </si>
  <si>
    <t>Probability of death from flu (Luce)</t>
  </si>
  <si>
    <t>0.0000066</t>
  </si>
  <si>
    <t>pDie_Flu_LRI</t>
  </si>
  <si>
    <t>Probability of death from lower respiratory infection and flu given vax-</t>
  </si>
  <si>
    <t xml:space="preserve">Centers for Disease, C., Prevention, &amp; Thompson MG  Zhou H, Bridges CB, Cheng PY, Burns E, S. D. K. (2010). Estimates of deaths associated with seasonal influenza --- United States, 1976-2007. MMWR Morb Mortal Wkly Rep, 59(33), 1057–1062. doi:mm5933a1 [pii]_x000D_ ***SA 50-150% of base
_x000D_
Luce, B. R., Nichol, K. L., Belshe, R. B., Frick, K. D., Li, S. X., Boscoe, A., … Mahadevia, P. J. (2008). Cost-effectiveness of live attenuated influenza vaccine versus inactivated influenza vaccine among children aged 24-59 months in the United States. Vaccine, 26(23), 2841–8. doi:10.1016/j.vaccine.2008.03.046_x000D_
</t>
  </si>
  <si>
    <t>0.0001676</t>
  </si>
  <si>
    <t>pDie_Flu_LRI_LAIV</t>
  </si>
  <si>
    <t>Probability of death from lower respiratory infection given LAIV+ and flu+(Assumed from Luce)</t>
  </si>
  <si>
    <t>pDie_Flu_LRI_TIV</t>
  </si>
  <si>
    <t>Probability of death from lower respiratory infection given TIV+ and flu+(Assumed from Luce)</t>
  </si>
  <si>
    <t>pFlu_AOM_LAIV</t>
  </si>
  <si>
    <t>Probability of acute otitis media given LAIV+ and flu+</t>
  </si>
  <si>
    <t>pFlu_LAIV * Percent_AOM_LAIV</t>
  </si>
  <si>
    <t>pFlu_AOM_TIV</t>
  </si>
  <si>
    <t>Probability of acute otitis media given TIV+ and flu+</t>
  </si>
  <si>
    <t>pFlu_TIV * Percent_AOM_TIV</t>
  </si>
  <si>
    <t>pFlu_LAIV</t>
  </si>
  <si>
    <t>Probability of flu+ given LAIV+ (Luce)</t>
  </si>
  <si>
    <t>pFlu * (1 - eff_LAIV)</t>
  </si>
  <si>
    <t>pFlu_TIV</t>
  </si>
  <si>
    <t>Probability of flu given TIV+</t>
  </si>
  <si>
    <t>pFlu * (1-eff_TIV)</t>
  </si>
  <si>
    <t>pHosp_Flu</t>
  </si>
  <si>
    <t>Probability of hospitalization given vax- and flu+ and no complications (assumed same as Luce/TIV)</t>
  </si>
  <si>
    <t>0.0004</t>
  </si>
  <si>
    <t>pHosp_LRI</t>
  </si>
  <si>
    <t>Probability of hospitalization given vax- and flu+ and lower respiratory infection (Lavelle 2009 J Peds)</t>
  </si>
  <si>
    <t>0.00064</t>
  </si>
  <si>
    <t>pHosp_AOM</t>
  </si>
  <si>
    <t>Probability of hospitalization given vax- and flu+ and acute otitis media (assumed same as Luce/TIV)</t>
  </si>
  <si>
    <t>pDie_Flu_AOM</t>
  </si>
  <si>
    <t>Probability of death from acute otitis media and flu given vax- (Luce)</t>
  </si>
  <si>
    <t>pFlu_Monthly</t>
  </si>
  <si>
    <t>Probability of flu per Markov cycle given vax-</t>
  </si>
  <si>
    <t>( pFlu*(Flu_attack_monthly[_stage] - Flu_attack_monthly[_stage-1])) / (1 - pFlu *  Flu_attack_monthly[_stage-1] )</t>
  </si>
  <si>
    <t>pFluTotal</t>
  </si>
  <si>
    <t>Probability sum of all flu partial probabilities given vax-</t>
  </si>
  <si>
    <t>pFlu + pFlu_AOM + pFlu_LRI</t>
  </si>
  <si>
    <t>pFlu_Monthly_postVax</t>
  </si>
  <si>
    <t>Probability of flu per Markov cycle given vax+</t>
  </si>
  <si>
    <t>( pFlu_postVax * (Flu_attack_monthly[_stage] - Flu_attack_monthly[_stage-1])) / (1 - pFlu_postVax *  Flu_attack_monthly[_stage-1] )</t>
  </si>
  <si>
    <t>pFluTotal_postVax</t>
  </si>
  <si>
    <t>Probability sum of all flu partial probabilities given vax+</t>
  </si>
  <si>
    <t>pFlu_AOM_postVax + pFlu_LRI_postVax + pFlu_postVax</t>
  </si>
  <si>
    <t>duDeath</t>
  </si>
  <si>
    <t>Disutility of death</t>
  </si>
  <si>
    <t>+/- 5 years - Assumed</t>
  </si>
  <si>
    <t>30.5</t>
  </si>
  <si>
    <t>duHosp</t>
  </si>
  <si>
    <t>Disutility of hospitalization (HCUP - mean LOS 2.8)</t>
  </si>
  <si>
    <t>Assumed (1/365 to 10/365)</t>
  </si>
  <si>
    <t>2.8/365</t>
  </si>
  <si>
    <t>cFlu_MD</t>
  </si>
  <si>
    <t>Cost of MD office visit (99213 - 2014)</t>
  </si>
  <si>
    <t>SA - min &amp; max regional value</t>
  </si>
  <si>
    <t>73.08</t>
  </si>
  <si>
    <t>cNonMed_Daily</t>
  </si>
  <si>
    <t>Cost of direct nonmedical (daily wages from Bureau of Labor Statistics)</t>
  </si>
  <si>
    <t>BLS July 2012 - see Parameters spreadsheet tab</t>
  </si>
  <si>
    <t>162</t>
  </si>
  <si>
    <t>cFluRx</t>
  </si>
  <si>
    <t>Cost of flu medication  (avg wholesale price - 2010)</t>
  </si>
  <si>
    <t>103</t>
  </si>
  <si>
    <t>duAE_Other</t>
  </si>
  <si>
    <t>Disutility of vaccination no wheeze adverse event (Luce - no disutility)</t>
  </si>
  <si>
    <t>Upper range = loss of 1 day</t>
  </si>
  <si>
    <t>0</t>
  </si>
  <si>
    <t>cAdvEvent_Other</t>
  </si>
  <si>
    <t>Cost of non-hospitalized other adverse events - not wheezing (Luce)</t>
  </si>
  <si>
    <t>SA 50%-200% of base</t>
  </si>
  <si>
    <t>1.81</t>
  </si>
  <si>
    <t>pFlu_LRI_LAIV</t>
  </si>
  <si>
    <t>Probability of lower respiratory infection and flu given LAIV+ (Luce)</t>
  </si>
  <si>
    <t>pFlu_LAIV * Percent_LRI</t>
  </si>
  <si>
    <t>pFlu_LRI_TIV</t>
  </si>
  <si>
    <t>Probability of lower respiratory infection and flu given TIV+  (Luce)</t>
  </si>
  <si>
    <t>pFlu_TIV * Percent_LRI</t>
  </si>
  <si>
    <t>pDie_Flu_LAIV</t>
  </si>
  <si>
    <t>Probability of death from flu given LAIV+(Assumed from Luce)</t>
  </si>
  <si>
    <t>pDie_Flu_TIV</t>
  </si>
  <si>
    <t>Probability of death from flu given TIV+ (Assumed from Luce)</t>
  </si>
  <si>
    <t>pHosp_Flu_LAIV</t>
  </si>
  <si>
    <t>Probability of hospitalization for flu given LAIV+ (Luce)</t>
  </si>
  <si>
    <t>0.0002</t>
  </si>
  <si>
    <t>pHosp_Flu_TIV</t>
  </si>
  <si>
    <t>Probability of hospitalization for flu given TIV+ (Luce)</t>
  </si>
  <si>
    <t>pHosp_LRI_LAIV</t>
  </si>
  <si>
    <t>Probability of hospitalization for flu+ and lower respiratory infection given LAIV+ (Luce)</t>
  </si>
  <si>
    <t>Upper range = base probability for flu hosp given LAIV</t>
  </si>
  <si>
    <t>pHosp_LRI_TIV</t>
  </si>
  <si>
    <t>Probability of hospitalization for flu+ and lower respiratory infection given TIV+(Luce)</t>
  </si>
  <si>
    <t>0.0001</t>
  </si>
  <si>
    <t>pDie_Flu_AOM_LAIV</t>
  </si>
  <si>
    <t>Probability of death from acute otitis media and flu given LAIV+ (Assumed from Luce)</t>
  </si>
  <si>
    <t>pDie_Flu_AOM_TIV</t>
  </si>
  <si>
    <t>Probability of death from acute otitis media and flu given TIV+ (Assumed from Luce)</t>
  </si>
  <si>
    <t>pHosp_AOM_LAIV</t>
  </si>
  <si>
    <t>Probability of hospitalization for AOM given LAIV+ (Luce)</t>
  </si>
  <si>
    <t>pHosp_AOM_TIV</t>
  </si>
  <si>
    <t>Probability of hospitalization for AOM given TIV+ (Luce)</t>
  </si>
  <si>
    <t>pVaccinated_Monthly_LAIV</t>
  </si>
  <si>
    <t>Probability of LAIV vaccination monthly</t>
  </si>
  <si>
    <t>( pGetVax * (VAX_MONTHLY[_stage] - VAX_MONTHLY[_stage-1])) / (1 - pGetVax *  VAX_MONTHLY[_stage-1] )</t>
  </si>
  <si>
    <t>pVaccinated_Monthly_TIV</t>
  </si>
  <si>
    <t>Probability of vaccination with TIV by month - f(pVaccinated_Montly_LAIV)</t>
  </si>
  <si>
    <t>cAdvEvent_Wheeze</t>
  </si>
  <si>
    <t>Cost of non-hospitalized adverse event  - wheezing (Luce)</t>
  </si>
  <si>
    <t>62.92</t>
  </si>
  <si>
    <t>duAE_Wheeze</t>
  </si>
  <si>
    <t>Disutility of adverse event wheezing (Luce)</t>
  </si>
  <si>
    <t>(1-uWheeze) * (daysWheeze/365)</t>
  </si>
  <si>
    <t>pHosp_Wheeze_LAIV</t>
  </si>
  <si>
    <t>Probability of hospitalization for flu+ and lower respiratory infection given LAIV+(Luce)</t>
  </si>
  <si>
    <t>0.0009</t>
  </si>
  <si>
    <t>pHosp_Wheeze_TIV</t>
  </si>
  <si>
    <t>Probability of hospitalization for flu+ and wheezing given TIV+(Luce)</t>
  </si>
  <si>
    <t>0.0018</t>
  </si>
  <si>
    <t>pAE_noWheeze_LAIV</t>
  </si>
  <si>
    <t>Probability of other adverse events from LAIV (Luce)</t>
  </si>
  <si>
    <t>Assumed</t>
  </si>
  <si>
    <t>0.5 + 0.278</t>
  </si>
  <si>
    <t>pAE_noWheeze_TIV</t>
  </si>
  <si>
    <t>Probability of other adverse events from TIV (Luce)</t>
  </si>
  <si>
    <t>0.412 + 0.338</t>
  </si>
  <si>
    <t>uWheeze</t>
  </si>
  <si>
    <t>Utility of AE - wheezing (Luce)</t>
  </si>
  <si>
    <t>0.851</t>
  </si>
  <si>
    <t>daysWheeze</t>
  </si>
  <si>
    <t>Number of days wheezing+ (Luce)</t>
  </si>
  <si>
    <t>12.78</t>
  </si>
  <si>
    <t>daysFlu</t>
  </si>
  <si>
    <t>Number of days Flu+ (Luce)</t>
  </si>
  <si>
    <t>3</t>
  </si>
  <si>
    <t>uFlu</t>
  </si>
  <si>
    <t>Utility of flu+ (Luce)</t>
  </si>
  <si>
    <t>0.558</t>
  </si>
  <si>
    <t>daysAOM</t>
  </si>
  <si>
    <t>Number of days AOM+ (Luce)</t>
  </si>
  <si>
    <t>3.52</t>
  </si>
  <si>
    <t>daysLRI</t>
  </si>
  <si>
    <t>Number of days LRI+ (Luce)</t>
  </si>
  <si>
    <t>3.33</t>
  </si>
  <si>
    <t>cHosp_Wheeze</t>
  </si>
  <si>
    <t>Cost of hospitalization for wheezing (HCUP)</t>
  </si>
  <si>
    <t>HCUP - CCS asthma, mean cost, age 5-9 - SA +/- SE</t>
  </si>
  <si>
    <t>4295</t>
  </si>
  <si>
    <t>cHosp_Flu</t>
  </si>
  <si>
    <t>Cost of hospitalization including non-medical indirect costs for expected stay due to flu</t>
  </si>
  <si>
    <t>daysHosp_Flu * (cHosp_Flu_Daily + cNonMed_Daily)</t>
  </si>
  <si>
    <t>daysHosp_Flu</t>
  </si>
  <si>
    <t>Number of days of hospitalization for Flu (Luce)</t>
  </si>
  <si>
    <t>2.2</t>
  </si>
  <si>
    <t>cHosp_Flu_Daily</t>
  </si>
  <si>
    <t>Daily cost of flu hospitalization (from HCUP - see tab in Parameters spreadsheet)</t>
  </si>
  <si>
    <t>SA +/- SE</t>
  </si>
  <si>
    <t>2140</t>
  </si>
  <si>
    <t>cHosp_AOM</t>
  </si>
  <si>
    <t>cHosp_LRI</t>
  </si>
  <si>
    <t>daysHosp_LRI * (cHosp_Flu_Daily + cNonMed_Daily)</t>
  </si>
  <si>
    <t>daysHosp_LRI</t>
  </si>
  <si>
    <t>Number of days of hospitalization for LRI (Luce)</t>
  </si>
  <si>
    <t>2.8</t>
  </si>
  <si>
    <t>cVaccine_Admin</t>
  </si>
  <si>
    <t>Cost of vaccine administration (CMS 90471 &amp; 90473)</t>
  </si>
  <si>
    <t>SA - min and max regional cost</t>
  </si>
  <si>
    <t>25.08</t>
  </si>
  <si>
    <t>numVisits_Flu</t>
  </si>
  <si>
    <t>Number of visits with uncomplicated flu when MD visits occur (assumed)</t>
  </si>
  <si>
    <t>1</t>
  </si>
  <si>
    <t>pVisitMD_Flu</t>
  </si>
  <si>
    <t>Probability of seeking care with uncomplicated flu (Rose et al 2014)</t>
  </si>
  <si>
    <t>used data for ages 2-6</t>
  </si>
  <si>
    <t>0.40</t>
  </si>
  <si>
    <t>pGetFlu_Rx</t>
  </si>
  <si>
    <t>Probability of receiving antivirals for flu (assumed)</t>
  </si>
  <si>
    <t>pVisitMD_LRI</t>
  </si>
  <si>
    <t>Probability of an MD visit with LRI (assumed)</t>
  </si>
  <si>
    <t>numVisits_LRI</t>
  </si>
  <si>
    <t>Number of visits with LRI (assumed)</t>
  </si>
  <si>
    <t>2</t>
  </si>
  <si>
    <t>pVisitMD_AOM</t>
  </si>
  <si>
    <t>Probability of an MD visit with AOM (assumed)</t>
  </si>
  <si>
    <t>numVisits_AOM</t>
  </si>
  <si>
    <t>Number of MD visits with AOM (assumed)</t>
  </si>
  <si>
    <t>eff_LAIV</t>
  </si>
  <si>
    <t>Efficacy of LAIV in preventing flu (Rick's VE Excel file)</t>
  </si>
  <si>
    <t>SA range from Excel</t>
  </si>
  <si>
    <t>0.83</t>
  </si>
  <si>
    <t>eff_TIV</t>
  </si>
  <si>
    <t>Efficacy of TIV in preventing flu  (Rick's VE Excel file)</t>
  </si>
  <si>
    <t>0.64</t>
  </si>
  <si>
    <t>Percent_AOM</t>
  </si>
  <si>
    <t>Percentage of flu cases with AOM (est. Prosser, Salo)</t>
  </si>
  <si>
    <t>SA =- Prosser calc for older and younger children</t>
  </si>
  <si>
    <t>0.15</t>
  </si>
  <si>
    <t>Percent_AOM_LAIV</t>
  </si>
  <si>
    <t>Percentage of flu cases with AOM (calculated from Luce and RR from ACIP slides)</t>
  </si>
  <si>
    <t>RR_AOM_LAIVvsTIV * Percent_AOM_TIV</t>
  </si>
  <si>
    <t>Percent_AOM_TIV</t>
  </si>
  <si>
    <t>Percentage of flu cases with AOM post TIV (Luce)</t>
  </si>
  <si>
    <t>0.078</t>
  </si>
  <si>
    <t>Percent_LRI</t>
  </si>
  <si>
    <t>percentage of flu cases with LRI (Luce, calculated for LAIV [TIV 7.8%])</t>
  </si>
  <si>
    <t>0.076</t>
  </si>
  <si>
    <t>RR_AOM_LAIVvsTIV</t>
  </si>
  <si>
    <t>Risk ratio AOM LAIV vs TIV (ACIP slides)</t>
  </si>
  <si>
    <t>SA from slides</t>
  </si>
  <si>
    <t>0.47</t>
  </si>
  <si>
    <t>pGetVax</t>
  </si>
  <si>
    <t>Probability of getting a vaccine throughout a flu season</t>
  </si>
  <si>
    <t>cAOM_meds</t>
  </si>
  <si>
    <t>Cost of AOM medication (Table 3. http://onlinelibrary.wiley.com/doi/10.1002/lary.24190/pdf)</t>
  </si>
  <si>
    <t>30</t>
  </si>
  <si>
    <t>cLRI_meds</t>
  </si>
  <si>
    <t>Cost of LRI medication (assumed = AOM medication)</t>
  </si>
  <si>
    <t>Cost of hospitalization for Acute Otitis Media</t>
  </si>
  <si>
    <t>Cost of hospitalization including non-medical direct costs for expected stay due to flu and LRI</t>
  </si>
  <si>
    <t>Sensitivity analysis</t>
  </si>
  <si>
    <t>SD</t>
  </si>
  <si>
    <t>adjSD</t>
  </si>
  <si>
    <t>adjMean</t>
  </si>
  <si>
    <t>dist</t>
  </si>
  <si>
    <t>Gamma</t>
  </si>
  <si>
    <r>
      <rPr>
        <b/>
        <u/>
        <sz val="10"/>
        <rFont val="Arial"/>
        <family val="2"/>
      </rPr>
      <t>Type</t>
    </r>
  </si>
  <si>
    <r>
      <rPr>
        <b/>
        <u/>
        <sz val="10"/>
        <rFont val="Arial"/>
        <family val="2"/>
      </rPr>
      <t>Param 1</t>
    </r>
  </si>
  <si>
    <r>
      <rPr>
        <b/>
        <u/>
        <sz val="10"/>
        <rFont val="Arial"/>
        <family val="2"/>
      </rPr>
      <t>Param 2</t>
    </r>
  </si>
  <si>
    <r>
      <rPr>
        <b/>
        <u/>
        <sz val="10"/>
        <rFont val="Arial"/>
        <family val="2"/>
      </rPr>
      <t>Param 3</t>
    </r>
  </si>
  <si>
    <r>
      <rPr>
        <b/>
        <u/>
        <sz val="10"/>
        <rFont val="Arial"/>
        <family val="2"/>
      </rPr>
      <t>Sampling Rate</t>
    </r>
  </si>
  <si>
    <r>
      <rPr>
        <b/>
        <u/>
        <sz val="10"/>
        <rFont val="Arial"/>
        <family val="2"/>
      </rPr>
      <t>Option</t>
    </r>
  </si>
  <si>
    <r>
      <rPr>
        <b/>
        <u/>
        <sz val="10"/>
        <rFont val="Arial"/>
        <family val="2"/>
      </rPr>
      <t>Python Class</t>
    </r>
  </si>
  <si>
    <r>
      <rPr>
        <b/>
        <u/>
        <sz val="10"/>
        <rFont val="Arial"/>
        <family val="2"/>
      </rPr>
      <t>Original Name</t>
    </r>
  </si>
  <si>
    <r>
      <rPr>
        <b/>
        <u/>
        <sz val="10"/>
        <rFont val="Arial"/>
        <family val="2"/>
      </rPr>
      <t>Changed</t>
    </r>
  </si>
  <si>
    <r>
      <rPr>
        <b/>
        <u/>
        <sz val="10"/>
        <rFont val="Arial"/>
        <family val="2"/>
      </rPr>
      <t>Help/Explanation</t>
    </r>
  </si>
  <si>
    <t xml:space="preserve">Param 1 = alpha; Param 2 = lambda; </t>
  </si>
  <si>
    <t>Index</t>
  </si>
  <si>
    <t>Name2</t>
  </si>
  <si>
    <t>Description3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</si>
</sst>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u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66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2" borderId="0" xfId="0" applyFill="1"/>
    <xf numFmtId="1" fontId="0" fillId="0" borderId="0" xfId="0" applyNumberFormat="1"/>
    <xf numFmtId="1" fontId="0" fillId="2" borderId="0" xfId="0" applyNumberFormat="1" applyFill="1"/>
  </cellXfs>
  <cellStyles count="1">
    <cellStyle name="Normal" xfId="0" builtinId="0"/>
  </cellStyles>
  <dxfs count="2">
    <dxf>
      <numFmt numFmtId="0" formatCode="General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W109" totalsRowShown="0">
  <autoFilter ref="A1:W109">
    <filterColumn colId="10">
      <filters blank="1"/>
    </filterColumn>
  </autoFilter>
  <sortState ref="A14:W109">
    <sortCondition ref="A1:A109"/>
  </sortState>
  <tableColumns count="23">
    <tableColumn id="1" name="Name"/>
    <tableColumn id="2" name="Description"/>
    <tableColumn id="3" name="Sensitivity analysis"/>
    <tableColumn id="4" name="Root Definition"/>
    <tableColumn id="5" name="Low"/>
    <tableColumn id="6" name="High"/>
    <tableColumn id="7" name="dist"/>
    <tableColumn id="8" name="adjMean"/>
    <tableColumn id="9" name="adjSD"/>
    <tableColumn id="10" name="SD"/>
    <tableColumn id="13" name="Index" dataDxfId="1"/>
    <tableColumn id="14" name="Type"/>
    <tableColumn id="15" name="Name2"/>
    <tableColumn id="16" name="Description3"/>
    <tableColumn id="17" name="Param 1"/>
    <tableColumn id="18" name="Param 2"/>
    <tableColumn id="19" name="Param 3"/>
    <tableColumn id="20" name="Sampling Rate"/>
    <tableColumn id="21" name="Option"/>
    <tableColumn id="22" name="Python Class"/>
    <tableColumn id="23" name="Original Name" dataDxfId="0">
      <calculatedColumnFormula>M2</calculatedColumnFormula>
    </tableColumn>
    <tableColumn id="24" name="Changed"/>
    <tableColumn id="25" name="Help/Explanatio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9"/>
  <sheetViews>
    <sheetView tabSelected="1" workbookViewId="0">
      <selection activeCell="I115" sqref="I115"/>
    </sheetView>
  </sheetViews>
  <sheetFormatPr defaultRowHeight="12.75" x14ac:dyDescent="0.2"/>
  <cols>
    <col min="1" max="1" width="25.42578125" customWidth="1"/>
    <col min="2" max="2" width="33.42578125" hidden="1" customWidth="1"/>
    <col min="3" max="3" width="25.85546875" hidden="1" customWidth="1"/>
    <col min="4" max="4" width="16" customWidth="1"/>
    <col min="5" max="5" width="10.42578125" customWidth="1"/>
    <col min="6" max="7" width="13.7109375" customWidth="1"/>
    <col min="8" max="8" width="10.140625" customWidth="1"/>
    <col min="11" max="11" width="15.7109375" customWidth="1"/>
    <col min="14" max="14" width="13.42578125" customWidth="1"/>
    <col min="15" max="17" width="10.140625" customWidth="1"/>
    <col min="18" max="18" width="15.28515625" customWidth="1"/>
    <col min="20" max="20" width="14.28515625" customWidth="1"/>
    <col min="21" max="21" width="14.85546875" customWidth="1"/>
    <col min="22" max="22" width="10.42578125" customWidth="1"/>
    <col min="23" max="23" width="17.140625" customWidth="1"/>
  </cols>
  <sheetData>
    <row r="1" spans="1:23" x14ac:dyDescent="0.2">
      <c r="A1" t="s">
        <v>0</v>
      </c>
      <c r="B1" t="s">
        <v>1</v>
      </c>
      <c r="C1" s="1" t="s">
        <v>272</v>
      </c>
      <c r="D1" t="s">
        <v>2</v>
      </c>
      <c r="E1" t="s">
        <v>3</v>
      </c>
      <c r="F1" t="s">
        <v>4</v>
      </c>
      <c r="G1" t="s">
        <v>276</v>
      </c>
      <c r="H1" t="s">
        <v>275</v>
      </c>
      <c r="I1" t="s">
        <v>274</v>
      </c>
      <c r="J1" t="s">
        <v>273</v>
      </c>
      <c r="K1" t="s">
        <v>289</v>
      </c>
      <c r="L1" t="s">
        <v>278</v>
      </c>
      <c r="M1" t="s">
        <v>290</v>
      </c>
      <c r="N1" t="s">
        <v>291</v>
      </c>
      <c r="O1" t="s">
        <v>279</v>
      </c>
      <c r="P1" t="s">
        <v>280</v>
      </c>
      <c r="Q1" t="s">
        <v>281</v>
      </c>
      <c r="R1" t="s">
        <v>282</v>
      </c>
      <c r="S1" t="s">
        <v>283</v>
      </c>
      <c r="T1" t="s">
        <v>284</v>
      </c>
      <c r="U1" t="s">
        <v>285</v>
      </c>
      <c r="V1" t="s">
        <v>286</v>
      </c>
      <c r="W1" t="s">
        <v>287</v>
      </c>
    </row>
    <row r="2" spans="1:23" s="3" customFormat="1" hidden="1" x14ac:dyDescent="0.2">
      <c r="A2" s="3" t="s">
        <v>122</v>
      </c>
      <c r="B2" s="3" t="s">
        <v>123</v>
      </c>
      <c r="C2" s="3" t="s">
        <v>124</v>
      </c>
      <c r="D2" s="3" t="s">
        <v>125</v>
      </c>
      <c r="E2" s="3">
        <v>0.90500000000000003</v>
      </c>
      <c r="F2" s="3">
        <v>3.62</v>
      </c>
      <c r="G2" s="3" t="s">
        <v>277</v>
      </c>
      <c r="H2"/>
      <c r="I2" s="3">
        <v>0.6</v>
      </c>
      <c r="J2">
        <f>IF(I2&gt;0,I2,(F2-D2)/2)</f>
        <v>0.6</v>
      </c>
      <c r="K2" s="4">
        <v>2</v>
      </c>
      <c r="L2" s="3" t="str">
        <f>G2</f>
        <v>Gamma</v>
      </c>
      <c r="M2" s="3" t="str">
        <f>CONCATENATE("dist_",A2)</f>
        <v>dist_cAdvEvent_Other</v>
      </c>
      <c r="O2">
        <f>IF(H2&gt;0,H2,D2)^2/J2^2</f>
        <v>9.1002777777777784</v>
      </c>
      <c r="P2">
        <f>IF(H2&gt;0,H2,D2)/J2^2</f>
        <v>5.0277777777777777</v>
      </c>
      <c r="R2" s="3">
        <v>0</v>
      </c>
      <c r="S2" s="3" t="str">
        <f>M2</f>
        <v>dist_cAdvEvent_Other</v>
      </c>
      <c r="U2" s="3" t="str">
        <f t="shared" ref="U2:U13" si="0">M2</f>
        <v>dist_cAdvEvent_Other</v>
      </c>
      <c r="V2" s="3">
        <v>0</v>
      </c>
      <c r="W2" s="3" t="s">
        <v>288</v>
      </c>
    </row>
    <row r="3" spans="1:23" hidden="1" x14ac:dyDescent="0.2">
      <c r="A3" s="3" t="s">
        <v>265</v>
      </c>
      <c r="B3" s="3" t="s">
        <v>266</v>
      </c>
      <c r="C3" s="3" t="s">
        <v>43</v>
      </c>
      <c r="D3" s="3" t="s">
        <v>267</v>
      </c>
      <c r="E3" s="3">
        <v>15</v>
      </c>
      <c r="F3" s="3">
        <v>45</v>
      </c>
      <c r="G3" s="3" t="s">
        <v>277</v>
      </c>
      <c r="H3" s="3"/>
      <c r="J3">
        <f>IF(I3&gt;0,I3,(F3-D3)/2)</f>
        <v>7.5</v>
      </c>
      <c r="K3" s="4">
        <v>7</v>
      </c>
      <c r="L3" s="3" t="str">
        <f>G3</f>
        <v>Gamma</v>
      </c>
      <c r="M3" s="3" t="str">
        <f>CONCATENATE("dist_",A3)</f>
        <v>dist_cAOM_meds</v>
      </c>
      <c r="N3" s="3"/>
      <c r="O3">
        <f>IF(H3&gt;0,H3,D3)^2/J3^2</f>
        <v>16</v>
      </c>
      <c r="P3">
        <f>IF(H3&gt;0,H3,D3)/J3^2</f>
        <v>0.53333333333333333</v>
      </c>
      <c r="Q3" s="3"/>
      <c r="R3" s="3">
        <v>0</v>
      </c>
      <c r="S3" s="3" t="str">
        <f>M3</f>
        <v>dist_cAOM_meds</v>
      </c>
      <c r="T3" s="3"/>
      <c r="U3" s="3" t="str">
        <f t="shared" si="0"/>
        <v>dist_cAOM_meds</v>
      </c>
      <c r="V3" s="3">
        <v>0</v>
      </c>
      <c r="W3" s="3" t="s">
        <v>288</v>
      </c>
    </row>
    <row r="4" spans="1:23" s="3" customFormat="1" hidden="1" x14ac:dyDescent="0.2">
      <c r="A4" s="3" t="s">
        <v>118</v>
      </c>
      <c r="B4" s="3" t="s">
        <v>119</v>
      </c>
      <c r="C4" s="3" t="s">
        <v>120</v>
      </c>
      <c r="D4" s="3" t="s">
        <v>121</v>
      </c>
      <c r="E4" s="3">
        <v>0</v>
      </c>
      <c r="F4" s="3">
        <v>2.7399999999999998E-3</v>
      </c>
      <c r="G4" s="3" t="s">
        <v>277</v>
      </c>
      <c r="K4" s="5">
        <v>8</v>
      </c>
      <c r="U4" s="3">
        <f t="shared" si="0"/>
        <v>0</v>
      </c>
    </row>
    <row r="5" spans="1:23" hidden="1" x14ac:dyDescent="0.2">
      <c r="A5" t="s">
        <v>160</v>
      </c>
      <c r="B5" t="s">
        <v>161</v>
      </c>
      <c r="C5" t="s">
        <v>43</v>
      </c>
      <c r="D5" t="s">
        <v>162</v>
      </c>
      <c r="E5">
        <v>31.46</v>
      </c>
      <c r="F5">
        <v>94.38</v>
      </c>
      <c r="G5" t="s">
        <v>277</v>
      </c>
      <c r="I5">
        <v>13</v>
      </c>
      <c r="J5">
        <f t="shared" ref="J5:J13" si="1">IF(I5&gt;0,I5,(F5-D5)/2)</f>
        <v>13</v>
      </c>
      <c r="K5" s="4">
        <v>13</v>
      </c>
      <c r="L5" t="str">
        <f t="shared" ref="L5:L13" si="2">G5</f>
        <v>Gamma</v>
      </c>
      <c r="M5" t="str">
        <f t="shared" ref="M5:M13" si="3">CONCATENATE("dist_",A5)</f>
        <v>dist_cAdvEvent_Wheeze</v>
      </c>
      <c r="O5">
        <f t="shared" ref="O5:O13" si="4">IF(H5&gt;0,H5,D5)^2/J5^2</f>
        <v>23.425600000000003</v>
      </c>
      <c r="P5">
        <f t="shared" ref="P5:P13" si="5">IF(H5&gt;0,H5,D5)/J5^2</f>
        <v>0.37230769230769234</v>
      </c>
      <c r="R5">
        <v>0</v>
      </c>
      <c r="S5" t="str">
        <f>M5</f>
        <v>dist_cAdvEvent_Wheeze</v>
      </c>
      <c r="U5" t="str">
        <f t="shared" si="0"/>
        <v>dist_cAdvEvent_Wheeze</v>
      </c>
      <c r="V5">
        <v>0</v>
      </c>
      <c r="W5" t="s">
        <v>288</v>
      </c>
    </row>
    <row r="6" spans="1:23" hidden="1" x14ac:dyDescent="0.2">
      <c r="A6" t="s">
        <v>115</v>
      </c>
      <c r="B6" t="s">
        <v>116</v>
      </c>
      <c r="C6" t="s">
        <v>43</v>
      </c>
      <c r="D6" t="s">
        <v>117</v>
      </c>
      <c r="E6">
        <v>51.5</v>
      </c>
      <c r="F6">
        <v>154.5</v>
      </c>
      <c r="G6" t="s">
        <v>277</v>
      </c>
      <c r="I6">
        <v>16.5</v>
      </c>
      <c r="J6">
        <f t="shared" si="1"/>
        <v>16.5</v>
      </c>
      <c r="K6" s="4">
        <v>14</v>
      </c>
      <c r="L6" t="str">
        <f t="shared" si="2"/>
        <v>Gamma</v>
      </c>
      <c r="M6" t="str">
        <f t="shared" si="3"/>
        <v>dist_cFluRx</v>
      </c>
      <c r="O6">
        <f t="shared" si="4"/>
        <v>38.967860422405877</v>
      </c>
      <c r="P6">
        <f t="shared" si="5"/>
        <v>0.37832874196510557</v>
      </c>
      <c r="R6">
        <v>0</v>
      </c>
      <c r="S6" t="str">
        <f>M6</f>
        <v>dist_cFluRx</v>
      </c>
      <c r="U6" t="str">
        <f t="shared" si="0"/>
        <v>dist_cFluRx</v>
      </c>
      <c r="V6">
        <v>0</v>
      </c>
      <c r="W6" t="s">
        <v>288</v>
      </c>
    </row>
    <row r="7" spans="1:23" hidden="1" x14ac:dyDescent="0.2">
      <c r="A7" t="s">
        <v>107</v>
      </c>
      <c r="B7" t="s">
        <v>108</v>
      </c>
      <c r="C7" t="s">
        <v>109</v>
      </c>
      <c r="D7" t="s">
        <v>110</v>
      </c>
      <c r="E7">
        <v>60.22</v>
      </c>
      <c r="F7">
        <v>92.78</v>
      </c>
      <c r="G7" t="s">
        <v>277</v>
      </c>
      <c r="J7">
        <f t="shared" si="1"/>
        <v>9.8500000000000014</v>
      </c>
      <c r="K7" s="4">
        <v>15</v>
      </c>
      <c r="L7" t="str">
        <f t="shared" si="2"/>
        <v>Gamma</v>
      </c>
      <c r="M7" t="str">
        <f t="shared" si="3"/>
        <v>dist_cFlu_MD</v>
      </c>
      <c r="O7">
        <f t="shared" si="4"/>
        <v>55.045854312144073</v>
      </c>
      <c r="P7">
        <f t="shared" si="5"/>
        <v>0.75322734417274329</v>
      </c>
      <c r="R7">
        <v>0</v>
      </c>
      <c r="U7" t="str">
        <f t="shared" si="0"/>
        <v>dist_cFlu_MD</v>
      </c>
      <c r="V7">
        <v>0</v>
      </c>
      <c r="W7" t="s">
        <v>288</v>
      </c>
    </row>
    <row r="8" spans="1:23" hidden="1" x14ac:dyDescent="0.2">
      <c r="A8" t="s">
        <v>207</v>
      </c>
      <c r="B8" t="s">
        <v>208</v>
      </c>
      <c r="C8" t="s">
        <v>209</v>
      </c>
      <c r="D8" t="s">
        <v>210</v>
      </c>
      <c r="E8">
        <v>1748</v>
      </c>
      <c r="F8">
        <v>2532</v>
      </c>
      <c r="G8" t="s">
        <v>277</v>
      </c>
      <c r="J8">
        <f t="shared" si="1"/>
        <v>196</v>
      </c>
      <c r="K8" s="4">
        <v>16</v>
      </c>
      <c r="L8" t="str">
        <f t="shared" si="2"/>
        <v>Gamma</v>
      </c>
      <c r="M8" t="str">
        <f t="shared" si="3"/>
        <v>dist_cHosp_Flu_Daily</v>
      </c>
      <c r="O8">
        <f t="shared" si="4"/>
        <v>119.21074552269887</v>
      </c>
      <c r="P8">
        <f t="shared" si="5"/>
        <v>5.5705955851728446E-2</v>
      </c>
      <c r="R8">
        <v>0</v>
      </c>
      <c r="U8" t="str">
        <f t="shared" si="0"/>
        <v>dist_cHosp_Flu_Daily</v>
      </c>
      <c r="V8">
        <v>0</v>
      </c>
      <c r="W8" t="s">
        <v>288</v>
      </c>
    </row>
    <row r="9" spans="1:23" hidden="1" x14ac:dyDescent="0.2">
      <c r="A9" t="s">
        <v>197</v>
      </c>
      <c r="B9" t="s">
        <v>198</v>
      </c>
      <c r="C9" t="s">
        <v>199</v>
      </c>
      <c r="D9" t="s">
        <v>200</v>
      </c>
      <c r="E9">
        <v>4103</v>
      </c>
      <c r="F9">
        <v>4487</v>
      </c>
      <c r="G9" t="s">
        <v>277</v>
      </c>
      <c r="J9">
        <f t="shared" si="1"/>
        <v>96</v>
      </c>
      <c r="K9" s="4">
        <v>17</v>
      </c>
      <c r="L9" t="str">
        <f t="shared" si="2"/>
        <v>Gamma</v>
      </c>
      <c r="M9" t="str">
        <f t="shared" si="3"/>
        <v>dist_cHosp_Wheeze</v>
      </c>
      <c r="O9">
        <f t="shared" si="4"/>
        <v>2001.6303168402778</v>
      </c>
      <c r="P9">
        <f t="shared" si="5"/>
        <v>0.4660373263888889</v>
      </c>
      <c r="R9">
        <v>0</v>
      </c>
      <c r="U9" t="str">
        <f t="shared" si="0"/>
        <v>dist_cHosp_Wheeze</v>
      </c>
      <c r="V9">
        <v>0</v>
      </c>
      <c r="W9" t="s">
        <v>288</v>
      </c>
    </row>
    <row r="10" spans="1:23" hidden="1" x14ac:dyDescent="0.2">
      <c r="A10" t="s">
        <v>111</v>
      </c>
      <c r="B10" t="s">
        <v>112</v>
      </c>
      <c r="C10" t="s">
        <v>113</v>
      </c>
      <c r="D10" t="s">
        <v>114</v>
      </c>
      <c r="E10">
        <v>81</v>
      </c>
      <c r="F10">
        <v>243</v>
      </c>
      <c r="G10" t="s">
        <v>277</v>
      </c>
      <c r="J10">
        <f t="shared" si="1"/>
        <v>40.5</v>
      </c>
      <c r="K10" s="4">
        <v>18</v>
      </c>
      <c r="L10" t="str">
        <f t="shared" si="2"/>
        <v>Gamma</v>
      </c>
      <c r="M10" t="str">
        <f t="shared" si="3"/>
        <v>dist_cNonMed_Daily</v>
      </c>
      <c r="O10">
        <f t="shared" si="4"/>
        <v>16</v>
      </c>
      <c r="P10">
        <f t="shared" si="5"/>
        <v>9.8765432098765427E-2</v>
      </c>
      <c r="R10">
        <v>0</v>
      </c>
      <c r="U10" t="str">
        <f t="shared" si="0"/>
        <v>dist_cNonMed_Daily</v>
      </c>
      <c r="V10">
        <v>0</v>
      </c>
      <c r="W10" t="s">
        <v>288</v>
      </c>
    </row>
    <row r="11" spans="1:23" hidden="1" x14ac:dyDescent="0.2">
      <c r="A11" t="s">
        <v>41</v>
      </c>
      <c r="B11" t="s">
        <v>42</v>
      </c>
      <c r="C11" t="s">
        <v>43</v>
      </c>
      <c r="D11" t="s">
        <v>44</v>
      </c>
      <c r="E11">
        <v>11.35</v>
      </c>
      <c r="F11">
        <v>34.049999999999997</v>
      </c>
      <c r="G11" t="s">
        <v>277</v>
      </c>
      <c r="J11">
        <f t="shared" si="1"/>
        <v>5.6749999999999989</v>
      </c>
      <c r="K11" s="4">
        <v>19</v>
      </c>
      <c r="L11" t="str">
        <f t="shared" si="2"/>
        <v>Gamma</v>
      </c>
      <c r="M11" t="str">
        <f t="shared" si="3"/>
        <v>dist_cLAIV</v>
      </c>
      <c r="O11">
        <f t="shared" si="4"/>
        <v>16.000000000000004</v>
      </c>
      <c r="P11">
        <f t="shared" si="5"/>
        <v>0.70484581497797372</v>
      </c>
      <c r="R11">
        <v>0</v>
      </c>
      <c r="U11" t="str">
        <f t="shared" si="0"/>
        <v>dist_cLAIV</v>
      </c>
      <c r="V11">
        <v>0</v>
      </c>
      <c r="W11" t="s">
        <v>288</v>
      </c>
    </row>
    <row r="12" spans="1:23" hidden="1" x14ac:dyDescent="0.2">
      <c r="A12" t="s">
        <v>45</v>
      </c>
      <c r="B12" t="s">
        <v>46</v>
      </c>
      <c r="C12" t="s">
        <v>43</v>
      </c>
      <c r="D12" t="s">
        <v>47</v>
      </c>
      <c r="E12">
        <v>5.3449999999999998</v>
      </c>
      <c r="F12">
        <v>16.035</v>
      </c>
      <c r="G12" t="s">
        <v>277</v>
      </c>
      <c r="J12">
        <f t="shared" si="1"/>
        <v>2.6725000000000003</v>
      </c>
      <c r="K12" s="4">
        <v>20</v>
      </c>
      <c r="L12" t="str">
        <f t="shared" si="2"/>
        <v>Gamma</v>
      </c>
      <c r="M12" t="str">
        <f t="shared" si="3"/>
        <v>dist_cTIV</v>
      </c>
      <c r="O12">
        <f t="shared" si="4"/>
        <v>15.999999999999995</v>
      </c>
      <c r="P12">
        <f t="shared" si="5"/>
        <v>1.4967259120673522</v>
      </c>
      <c r="R12">
        <v>0</v>
      </c>
      <c r="U12" t="str">
        <f t="shared" si="0"/>
        <v>dist_cTIV</v>
      </c>
      <c r="V12">
        <v>0</v>
      </c>
      <c r="W12" t="s">
        <v>288</v>
      </c>
    </row>
    <row r="13" spans="1:23" hidden="1" x14ac:dyDescent="0.2">
      <c r="A13" t="s">
        <v>217</v>
      </c>
      <c r="B13" t="s">
        <v>218</v>
      </c>
      <c r="C13" t="s">
        <v>219</v>
      </c>
      <c r="D13" t="s">
        <v>220</v>
      </c>
      <c r="E13">
        <v>19.079999999999998</v>
      </c>
      <c r="F13">
        <v>32.32</v>
      </c>
      <c r="G13" t="s">
        <v>277</v>
      </c>
      <c r="J13">
        <f t="shared" si="1"/>
        <v>3.620000000000001</v>
      </c>
      <c r="K13" s="4">
        <v>21</v>
      </c>
      <c r="L13" t="str">
        <f t="shared" si="2"/>
        <v>Gamma</v>
      </c>
      <c r="M13" t="str">
        <f t="shared" si="3"/>
        <v>dist_cVaccine_Admin</v>
      </c>
      <c r="O13">
        <f t="shared" si="4"/>
        <v>47.999633710814649</v>
      </c>
      <c r="P13">
        <f t="shared" si="5"/>
        <v>1.913860993254173</v>
      </c>
      <c r="R13">
        <v>0</v>
      </c>
      <c r="U13" t="str">
        <f t="shared" si="0"/>
        <v>dist_cVaccine_Admin</v>
      </c>
      <c r="V13">
        <v>0</v>
      </c>
      <c r="W13" t="s">
        <v>288</v>
      </c>
    </row>
    <row r="14" spans="1:23" x14ac:dyDescent="0.2">
      <c r="A14" t="s">
        <v>26</v>
      </c>
      <c r="B14" t="s">
        <v>27</v>
      </c>
      <c r="C14" t="s">
        <v>13</v>
      </c>
      <c r="D14" t="s">
        <v>28</v>
      </c>
      <c r="E14">
        <v>0</v>
      </c>
      <c r="F14">
        <v>849.4</v>
      </c>
      <c r="K14" s="4"/>
      <c r="U14">
        <f t="shared" ref="U14:U45" si="6">M14</f>
        <v>0</v>
      </c>
    </row>
    <row r="15" spans="1:23" x14ac:dyDescent="0.2">
      <c r="A15" t="s">
        <v>14</v>
      </c>
      <c r="B15" t="s">
        <v>15</v>
      </c>
      <c r="C15" t="s">
        <v>13</v>
      </c>
      <c r="D15" t="s">
        <v>16</v>
      </c>
      <c r="E15">
        <v>0</v>
      </c>
      <c r="F15">
        <v>618.23199999999997</v>
      </c>
      <c r="K15" s="4"/>
      <c r="U15">
        <f t="shared" si="6"/>
        <v>0</v>
      </c>
    </row>
    <row r="16" spans="1:23" x14ac:dyDescent="0.2">
      <c r="A16" t="s">
        <v>211</v>
      </c>
      <c r="B16" t="s">
        <v>270</v>
      </c>
      <c r="C16" t="s">
        <v>13</v>
      </c>
      <c r="D16" t="s">
        <v>201</v>
      </c>
      <c r="E16">
        <v>0</v>
      </c>
      <c r="F16">
        <v>5064.4000000000005</v>
      </c>
      <c r="K16" s="4"/>
      <c r="U16">
        <f t="shared" si="6"/>
        <v>0</v>
      </c>
    </row>
    <row r="17" spans="1:23" x14ac:dyDescent="0.2">
      <c r="A17" t="s">
        <v>201</v>
      </c>
      <c r="B17" t="s">
        <v>202</v>
      </c>
      <c r="C17" t="s">
        <v>13</v>
      </c>
      <c r="D17" t="s">
        <v>203</v>
      </c>
      <c r="E17">
        <v>0</v>
      </c>
      <c r="F17">
        <v>5064.4000000000005</v>
      </c>
      <c r="K17" s="4"/>
      <c r="U17">
        <f t="shared" si="6"/>
        <v>0</v>
      </c>
    </row>
    <row r="18" spans="1:23" x14ac:dyDescent="0.2">
      <c r="A18" t="s">
        <v>212</v>
      </c>
      <c r="B18" t="s">
        <v>271</v>
      </c>
      <c r="C18" t="s">
        <v>13</v>
      </c>
      <c r="D18" t="s">
        <v>213</v>
      </c>
      <c r="E18">
        <v>0</v>
      </c>
      <c r="F18">
        <v>6445.5999999999995</v>
      </c>
      <c r="K18" s="4"/>
      <c r="U18">
        <f t="shared" si="6"/>
        <v>0</v>
      </c>
    </row>
    <row r="19" spans="1:23" x14ac:dyDescent="0.2">
      <c r="A19" t="s">
        <v>268</v>
      </c>
      <c r="B19" t="s">
        <v>269</v>
      </c>
      <c r="C19" t="s">
        <v>13</v>
      </c>
      <c r="D19" t="s">
        <v>265</v>
      </c>
      <c r="E19">
        <v>0</v>
      </c>
      <c r="F19">
        <v>30</v>
      </c>
      <c r="K19" s="4"/>
      <c r="U19">
        <f t="shared" si="6"/>
        <v>0</v>
      </c>
    </row>
    <row r="20" spans="1:23" x14ac:dyDescent="0.2">
      <c r="A20" t="s">
        <v>23</v>
      </c>
      <c r="B20" t="s">
        <v>24</v>
      </c>
      <c r="C20" t="s">
        <v>13</v>
      </c>
      <c r="D20" t="s">
        <v>25</v>
      </c>
      <c r="E20">
        <v>0</v>
      </c>
      <c r="F20">
        <v>818.62</v>
      </c>
      <c r="K20" s="4"/>
      <c r="U20">
        <f t="shared" si="6"/>
        <v>0</v>
      </c>
    </row>
    <row r="21" spans="1:23" x14ac:dyDescent="0.2">
      <c r="A21" t="s">
        <v>191</v>
      </c>
      <c r="B21" t="s">
        <v>192</v>
      </c>
      <c r="C21" t="s">
        <v>174</v>
      </c>
      <c r="D21" t="s">
        <v>193</v>
      </c>
      <c r="E21">
        <v>1</v>
      </c>
      <c r="F21">
        <v>10</v>
      </c>
      <c r="K21" s="4"/>
      <c r="U21">
        <f t="shared" si="6"/>
        <v>0</v>
      </c>
    </row>
    <row r="22" spans="1:23" x14ac:dyDescent="0.2">
      <c r="A22" t="s">
        <v>185</v>
      </c>
      <c r="B22" t="s">
        <v>186</v>
      </c>
      <c r="C22" t="s">
        <v>174</v>
      </c>
      <c r="D22" t="s">
        <v>187</v>
      </c>
      <c r="E22">
        <v>1</v>
      </c>
      <c r="F22">
        <v>10</v>
      </c>
      <c r="K22" s="4"/>
      <c r="U22">
        <f t="shared" si="6"/>
        <v>0</v>
      </c>
    </row>
    <row r="23" spans="1:23" x14ac:dyDescent="0.2">
      <c r="A23" t="s">
        <v>204</v>
      </c>
      <c r="B23" t="s">
        <v>205</v>
      </c>
      <c r="C23" t="s">
        <v>174</v>
      </c>
      <c r="D23" t="s">
        <v>206</v>
      </c>
      <c r="E23">
        <v>1</v>
      </c>
      <c r="F23">
        <v>7</v>
      </c>
      <c r="K23" s="4"/>
      <c r="U23">
        <f t="shared" si="6"/>
        <v>0</v>
      </c>
    </row>
    <row r="24" spans="1:23" x14ac:dyDescent="0.2">
      <c r="A24" t="s">
        <v>214</v>
      </c>
      <c r="B24" t="s">
        <v>215</v>
      </c>
      <c r="C24" t="s">
        <v>174</v>
      </c>
      <c r="D24" t="s">
        <v>216</v>
      </c>
      <c r="E24">
        <v>1</v>
      </c>
      <c r="F24">
        <v>10</v>
      </c>
      <c r="K24" s="4"/>
      <c r="U24">
        <f t="shared" si="6"/>
        <v>0</v>
      </c>
    </row>
    <row r="25" spans="1:23" x14ac:dyDescent="0.2">
      <c r="A25" t="s">
        <v>194</v>
      </c>
      <c r="B25" t="s">
        <v>195</v>
      </c>
      <c r="C25" t="s">
        <v>174</v>
      </c>
      <c r="D25" t="s">
        <v>196</v>
      </c>
      <c r="E25">
        <v>1</v>
      </c>
      <c r="F25">
        <v>10</v>
      </c>
      <c r="K25" s="4"/>
      <c r="U25">
        <f t="shared" si="6"/>
        <v>0</v>
      </c>
    </row>
    <row r="26" spans="1:23" x14ac:dyDescent="0.2">
      <c r="A26" t="s">
        <v>182</v>
      </c>
      <c r="B26" t="s">
        <v>183</v>
      </c>
      <c r="C26" t="s">
        <v>43</v>
      </c>
      <c r="D26" t="s">
        <v>184</v>
      </c>
      <c r="E26">
        <v>6.39</v>
      </c>
      <c r="F26">
        <v>19.170000000000002</v>
      </c>
      <c r="K26" s="4"/>
      <c r="U26">
        <f t="shared" si="6"/>
        <v>0</v>
      </c>
    </row>
    <row r="27" spans="1:23" x14ac:dyDescent="0.2">
      <c r="A27" s="2" t="s">
        <v>17</v>
      </c>
      <c r="B27" s="2" t="s">
        <v>18</v>
      </c>
      <c r="C27" s="2" t="s">
        <v>13</v>
      </c>
      <c r="D27" s="2" t="s">
        <v>19</v>
      </c>
      <c r="E27" s="2">
        <v>0</v>
      </c>
      <c r="F27" s="2">
        <v>0.03</v>
      </c>
      <c r="G27" s="2"/>
      <c r="H27" s="3"/>
      <c r="I27" s="3"/>
      <c r="J27" s="3"/>
      <c r="K27" s="5"/>
      <c r="L27" s="3"/>
      <c r="M27" s="3"/>
      <c r="N27" s="3"/>
      <c r="O27" s="3"/>
      <c r="P27" s="3"/>
      <c r="Q27" s="3"/>
      <c r="R27" s="3"/>
      <c r="S27" s="3"/>
      <c r="T27" s="3"/>
      <c r="U27" s="3">
        <f t="shared" si="6"/>
        <v>0</v>
      </c>
      <c r="V27" s="3"/>
      <c r="W27" s="3"/>
    </row>
    <row r="28" spans="1:23" x14ac:dyDescent="0.2">
      <c r="A28" t="s">
        <v>163</v>
      </c>
      <c r="B28" t="s">
        <v>164</v>
      </c>
      <c r="C28" t="s">
        <v>13</v>
      </c>
      <c r="D28" t="s">
        <v>165</v>
      </c>
      <c r="E28">
        <v>0</v>
      </c>
      <c r="F28">
        <v>5.2170410958904114E-3</v>
      </c>
      <c r="K28" s="4"/>
      <c r="U28">
        <f t="shared" si="6"/>
        <v>0</v>
      </c>
    </row>
    <row r="29" spans="1:23" s="3" customFormat="1" x14ac:dyDescent="0.2">
      <c r="A29" t="s">
        <v>32</v>
      </c>
      <c r="B29" t="s">
        <v>33</v>
      </c>
      <c r="C29" t="s">
        <v>13</v>
      </c>
      <c r="D29" t="s">
        <v>34</v>
      </c>
      <c r="E29">
        <v>0</v>
      </c>
      <c r="F29">
        <v>4.262575342465753E-3</v>
      </c>
      <c r="G29"/>
      <c r="H29"/>
      <c r="I29"/>
      <c r="J29"/>
      <c r="K29" s="4"/>
      <c r="L29"/>
      <c r="M29"/>
      <c r="N29"/>
      <c r="O29"/>
      <c r="P29"/>
      <c r="Q29"/>
      <c r="R29"/>
      <c r="S29"/>
      <c r="T29"/>
      <c r="U29">
        <f t="shared" si="6"/>
        <v>0</v>
      </c>
      <c r="V29"/>
      <c r="W29"/>
    </row>
    <row r="30" spans="1:23" x14ac:dyDescent="0.2">
      <c r="A30" t="s">
        <v>99</v>
      </c>
      <c r="B30" t="s">
        <v>100</v>
      </c>
      <c r="C30" t="s">
        <v>101</v>
      </c>
      <c r="D30" t="s">
        <v>102</v>
      </c>
      <c r="E30">
        <v>25.5</v>
      </c>
      <c r="F30">
        <v>35.5</v>
      </c>
      <c r="K30" s="4"/>
      <c r="U30">
        <f t="shared" si="6"/>
        <v>0</v>
      </c>
    </row>
    <row r="31" spans="1:23" x14ac:dyDescent="0.2">
      <c r="A31" t="s">
        <v>20</v>
      </c>
      <c r="B31" t="s">
        <v>21</v>
      </c>
      <c r="C31" t="s">
        <v>13</v>
      </c>
      <c r="D31" t="s">
        <v>22</v>
      </c>
      <c r="E31">
        <v>0</v>
      </c>
      <c r="F31">
        <v>3.6328767123287664E-3</v>
      </c>
      <c r="K31" s="4"/>
      <c r="U31">
        <f t="shared" si="6"/>
        <v>0</v>
      </c>
    </row>
    <row r="32" spans="1:23" x14ac:dyDescent="0.2">
      <c r="A32" t="s">
        <v>103</v>
      </c>
      <c r="B32" t="s">
        <v>104</v>
      </c>
      <c r="C32" t="s">
        <v>105</v>
      </c>
      <c r="D32" t="s">
        <v>106</v>
      </c>
      <c r="E32">
        <v>2.7399999999999998E-3</v>
      </c>
      <c r="F32">
        <v>2.7397000000000001E-2</v>
      </c>
      <c r="K32" s="4"/>
      <c r="U32">
        <f t="shared" si="6"/>
        <v>0</v>
      </c>
    </row>
    <row r="33" spans="1:23" x14ac:dyDescent="0.2">
      <c r="A33" t="s">
        <v>29</v>
      </c>
      <c r="B33" t="s">
        <v>30</v>
      </c>
      <c r="C33" t="s">
        <v>13</v>
      </c>
      <c r="D33" t="s">
        <v>31</v>
      </c>
      <c r="E33">
        <v>0</v>
      </c>
      <c r="F33">
        <v>4.0324931506849314E-3</v>
      </c>
      <c r="K33" s="4"/>
      <c r="U33">
        <f t="shared" si="6"/>
        <v>0</v>
      </c>
    </row>
    <row r="34" spans="1:23" s="3" customFormat="1" x14ac:dyDescent="0.2">
      <c r="A34" t="s">
        <v>239</v>
      </c>
      <c r="B34" t="s">
        <v>240</v>
      </c>
      <c r="C34" t="s">
        <v>241</v>
      </c>
      <c r="D34" t="s">
        <v>242</v>
      </c>
      <c r="E34">
        <v>0.69</v>
      </c>
      <c r="F34">
        <v>0.91</v>
      </c>
      <c r="G34"/>
      <c r="H34"/>
      <c r="I34"/>
      <c r="J34"/>
      <c r="K34" s="4"/>
      <c r="L34"/>
      <c r="M34"/>
      <c r="N34"/>
      <c r="O34"/>
      <c r="P34"/>
      <c r="Q34"/>
      <c r="R34"/>
      <c r="S34"/>
      <c r="T34"/>
      <c r="U34">
        <f t="shared" si="6"/>
        <v>0</v>
      </c>
      <c r="V34"/>
      <c r="W34"/>
    </row>
    <row r="35" spans="1:23" s="3" customFormat="1" x14ac:dyDescent="0.2">
      <c r="A35" t="s">
        <v>243</v>
      </c>
      <c r="B35" t="s">
        <v>244</v>
      </c>
      <c r="C35" t="s">
        <v>241</v>
      </c>
      <c r="D35" t="s">
        <v>245</v>
      </c>
      <c r="E35">
        <v>0.34</v>
      </c>
      <c r="F35">
        <v>0.81</v>
      </c>
      <c r="G35"/>
      <c r="H35"/>
      <c r="I35"/>
      <c r="J35"/>
      <c r="K35" s="4"/>
      <c r="L35"/>
      <c r="M35"/>
      <c r="N35"/>
      <c r="O35"/>
      <c r="P35"/>
      <c r="Q35"/>
      <c r="R35"/>
      <c r="S35"/>
      <c r="T35"/>
      <c r="U35">
        <f t="shared" si="6"/>
        <v>0</v>
      </c>
      <c r="V35"/>
      <c r="W35"/>
    </row>
    <row r="36" spans="1:23" s="3" customFormat="1" x14ac:dyDescent="0.2">
      <c r="A36" s="3" t="s">
        <v>237</v>
      </c>
      <c r="B36" s="3" t="s">
        <v>238</v>
      </c>
      <c r="C36" s="3" t="s">
        <v>174</v>
      </c>
      <c r="D36" s="3" t="s">
        <v>234</v>
      </c>
      <c r="E36" s="3">
        <v>1</v>
      </c>
      <c r="F36" s="3">
        <v>3</v>
      </c>
      <c r="K36" s="5"/>
      <c r="U36" s="3">
        <f t="shared" si="6"/>
        <v>0</v>
      </c>
    </row>
    <row r="37" spans="1:23" x14ac:dyDescent="0.2">
      <c r="A37" s="3" t="s">
        <v>221</v>
      </c>
      <c r="B37" s="3" t="s">
        <v>222</v>
      </c>
      <c r="C37" s="3" t="s">
        <v>174</v>
      </c>
      <c r="D37" s="3" t="s">
        <v>223</v>
      </c>
      <c r="E37" s="3">
        <v>1</v>
      </c>
      <c r="F37" s="3">
        <v>3</v>
      </c>
      <c r="G37" s="3"/>
      <c r="H37" s="3"/>
      <c r="I37" s="3"/>
      <c r="J37" s="3"/>
      <c r="K37" s="5"/>
      <c r="L37" s="3"/>
      <c r="M37" s="3"/>
      <c r="N37" s="3"/>
      <c r="O37" s="3"/>
      <c r="P37" s="3"/>
      <c r="Q37" s="3"/>
      <c r="R37" s="3"/>
      <c r="S37" s="3"/>
      <c r="T37" s="3"/>
      <c r="U37" s="3">
        <f t="shared" si="6"/>
        <v>0</v>
      </c>
      <c r="V37" s="3"/>
      <c r="W37" s="3"/>
    </row>
    <row r="38" spans="1:23" s="3" customFormat="1" x14ac:dyDescent="0.2">
      <c r="A38" s="3" t="s">
        <v>232</v>
      </c>
      <c r="B38" s="3" t="s">
        <v>233</v>
      </c>
      <c r="C38" s="3" t="s">
        <v>174</v>
      </c>
      <c r="D38" s="3" t="s">
        <v>234</v>
      </c>
      <c r="E38" s="3">
        <v>1</v>
      </c>
      <c r="F38" s="3">
        <v>3</v>
      </c>
      <c r="K38" s="5"/>
      <c r="U38" s="3">
        <f t="shared" si="6"/>
        <v>0</v>
      </c>
    </row>
    <row r="39" spans="1:23" s="3" customFormat="1" x14ac:dyDescent="0.2">
      <c r="A39" s="2" t="s">
        <v>172</v>
      </c>
      <c r="B39" s="3" t="s">
        <v>173</v>
      </c>
      <c r="C39" s="3" t="s">
        <v>174</v>
      </c>
      <c r="D39" s="3" t="s">
        <v>175</v>
      </c>
      <c r="E39" s="3">
        <v>0.5</v>
      </c>
      <c r="F39" s="3">
        <v>0.95</v>
      </c>
      <c r="K39" s="5"/>
      <c r="U39" s="3">
        <f t="shared" si="6"/>
        <v>0</v>
      </c>
    </row>
    <row r="40" spans="1:23" x14ac:dyDescent="0.2">
      <c r="A40" s="3" t="s">
        <v>176</v>
      </c>
      <c r="B40" s="3" t="s">
        <v>177</v>
      </c>
      <c r="C40" s="3" t="s">
        <v>174</v>
      </c>
      <c r="D40" s="3" t="s">
        <v>178</v>
      </c>
      <c r="E40" s="3">
        <v>0.5</v>
      </c>
      <c r="F40" s="3">
        <v>0.95</v>
      </c>
      <c r="G40" s="3"/>
      <c r="H40" s="3"/>
      <c r="I40" s="3"/>
      <c r="J40" s="3"/>
      <c r="K40" s="5"/>
      <c r="L40" s="3"/>
      <c r="M40" s="3"/>
      <c r="N40" s="3"/>
      <c r="O40" s="3"/>
      <c r="P40" s="3"/>
      <c r="Q40" s="3"/>
      <c r="R40" s="3"/>
      <c r="S40" s="3"/>
      <c r="T40" s="3"/>
      <c r="U40" s="3">
        <f t="shared" si="6"/>
        <v>0</v>
      </c>
      <c r="V40" s="3"/>
      <c r="W40" s="3"/>
    </row>
    <row r="41" spans="1:23" x14ac:dyDescent="0.2">
      <c r="A41" t="s">
        <v>48</v>
      </c>
      <c r="B41" t="s">
        <v>49</v>
      </c>
      <c r="C41" t="s">
        <v>43</v>
      </c>
      <c r="D41" t="s">
        <v>50</v>
      </c>
      <c r="E41">
        <v>1.0749999999999999E-2</v>
      </c>
      <c r="F41">
        <v>3.2250000000000001E-2</v>
      </c>
      <c r="K41" s="4"/>
      <c r="U41">
        <f t="shared" si="6"/>
        <v>0</v>
      </c>
    </row>
    <row r="42" spans="1:23" x14ac:dyDescent="0.2">
      <c r="A42" t="s">
        <v>51</v>
      </c>
      <c r="B42" t="s">
        <v>52</v>
      </c>
      <c r="C42" t="s">
        <v>43</v>
      </c>
      <c r="D42" t="s">
        <v>53</v>
      </c>
      <c r="E42">
        <v>1.2749999999999999E-2</v>
      </c>
      <c r="F42">
        <v>3.8249999999999999E-2</v>
      </c>
      <c r="K42" s="4"/>
      <c r="U42">
        <f t="shared" si="6"/>
        <v>0</v>
      </c>
    </row>
    <row r="43" spans="1:23" x14ac:dyDescent="0.2">
      <c r="A43" t="s">
        <v>54</v>
      </c>
      <c r="B43" t="s">
        <v>55</v>
      </c>
      <c r="C43" t="s">
        <v>43</v>
      </c>
      <c r="D43" t="s">
        <v>56</v>
      </c>
      <c r="E43">
        <v>3.3000000000000002E-6</v>
      </c>
      <c r="F43">
        <v>9.9000000000000001E-6</v>
      </c>
      <c r="K43" s="4"/>
      <c r="U43">
        <f t="shared" si="6"/>
        <v>0</v>
      </c>
    </row>
    <row r="44" spans="1:23" x14ac:dyDescent="0.2">
      <c r="A44" t="s">
        <v>85</v>
      </c>
      <c r="B44" t="s">
        <v>86</v>
      </c>
      <c r="C44" t="s">
        <v>43</v>
      </c>
      <c r="D44" t="s">
        <v>56</v>
      </c>
      <c r="E44">
        <v>3.3000000000000002E-6</v>
      </c>
      <c r="F44">
        <v>9.9000000000000001E-6</v>
      </c>
      <c r="K44" s="4"/>
      <c r="U44">
        <f t="shared" si="6"/>
        <v>0</v>
      </c>
    </row>
    <row r="45" spans="1:23" x14ac:dyDescent="0.2">
      <c r="A45" t="s">
        <v>147</v>
      </c>
      <c r="B45" t="s">
        <v>148</v>
      </c>
      <c r="C45" t="s">
        <v>13</v>
      </c>
      <c r="D45" t="s">
        <v>85</v>
      </c>
      <c r="E45">
        <v>0</v>
      </c>
      <c r="F45">
        <v>6.6000000000000003E-6</v>
      </c>
      <c r="K45" s="4"/>
      <c r="U45">
        <f t="shared" si="6"/>
        <v>0</v>
      </c>
    </row>
    <row r="46" spans="1:23" x14ac:dyDescent="0.2">
      <c r="A46" t="s">
        <v>149</v>
      </c>
      <c r="B46" t="s">
        <v>150</v>
      </c>
      <c r="C46" t="s">
        <v>13</v>
      </c>
      <c r="D46" t="s">
        <v>85</v>
      </c>
      <c r="E46">
        <v>0</v>
      </c>
      <c r="F46">
        <v>6.6000000000000003E-6</v>
      </c>
      <c r="K46" s="4"/>
      <c r="U46">
        <f t="shared" ref="U46:U77" si="7">M46</f>
        <v>0</v>
      </c>
    </row>
    <row r="47" spans="1:23" x14ac:dyDescent="0.2">
      <c r="A47" t="s">
        <v>132</v>
      </c>
      <c r="B47" t="s">
        <v>133</v>
      </c>
      <c r="C47" t="s">
        <v>13</v>
      </c>
      <c r="D47" t="s">
        <v>54</v>
      </c>
      <c r="E47">
        <v>0</v>
      </c>
      <c r="F47">
        <v>6.6000000000000003E-6</v>
      </c>
      <c r="K47" s="4"/>
      <c r="U47">
        <f t="shared" si="7"/>
        <v>0</v>
      </c>
    </row>
    <row r="48" spans="1:23" x14ac:dyDescent="0.2">
      <c r="A48" t="s">
        <v>57</v>
      </c>
      <c r="B48" t="s">
        <v>58</v>
      </c>
      <c r="C48" t="s">
        <v>59</v>
      </c>
      <c r="D48" t="s">
        <v>60</v>
      </c>
      <c r="E48">
        <v>8.3999999999999995E-5</v>
      </c>
      <c r="F48">
        <v>2.5099999999999998E-4</v>
      </c>
      <c r="K48" s="4"/>
      <c r="U48">
        <f t="shared" si="7"/>
        <v>0</v>
      </c>
    </row>
    <row r="49" spans="1:21" x14ac:dyDescent="0.2">
      <c r="A49" t="s">
        <v>61</v>
      </c>
      <c r="B49" t="s">
        <v>62</v>
      </c>
      <c r="C49" t="s">
        <v>13</v>
      </c>
      <c r="D49" t="s">
        <v>57</v>
      </c>
      <c r="E49">
        <v>0</v>
      </c>
      <c r="F49">
        <v>1.6760000000000001E-4</v>
      </c>
      <c r="K49" s="4"/>
      <c r="U49">
        <f t="shared" si="7"/>
        <v>0</v>
      </c>
    </row>
    <row r="50" spans="1:21" x14ac:dyDescent="0.2">
      <c r="A50" t="s">
        <v>63</v>
      </c>
      <c r="B50" t="s">
        <v>64</v>
      </c>
      <c r="C50" t="s">
        <v>13</v>
      </c>
      <c r="D50" t="s">
        <v>57</v>
      </c>
      <c r="E50">
        <v>0</v>
      </c>
      <c r="F50">
        <v>1.6760000000000001E-4</v>
      </c>
      <c r="K50" s="4"/>
      <c r="U50">
        <f t="shared" si="7"/>
        <v>0</v>
      </c>
    </row>
    <row r="51" spans="1:21" x14ac:dyDescent="0.2">
      <c r="A51" t="s">
        <v>134</v>
      </c>
      <c r="B51" t="s">
        <v>135</v>
      </c>
      <c r="C51" t="s">
        <v>13</v>
      </c>
      <c r="D51" t="s">
        <v>54</v>
      </c>
      <c r="E51">
        <v>0</v>
      </c>
      <c r="F51">
        <v>6.6000000000000003E-6</v>
      </c>
      <c r="K51" s="4"/>
      <c r="U51">
        <f t="shared" si="7"/>
        <v>0</v>
      </c>
    </row>
    <row r="52" spans="1:21" x14ac:dyDescent="0.2">
      <c r="A52" t="s">
        <v>246</v>
      </c>
      <c r="B52" t="s">
        <v>247</v>
      </c>
      <c r="C52" t="s">
        <v>248</v>
      </c>
      <c r="D52" t="s">
        <v>249</v>
      </c>
      <c r="E52">
        <v>6.4000000000000001E-2</v>
      </c>
      <c r="F52">
        <v>0.27300000000000002</v>
      </c>
      <c r="K52" s="4"/>
      <c r="U52">
        <f t="shared" si="7"/>
        <v>0</v>
      </c>
    </row>
    <row r="53" spans="1:21" x14ac:dyDescent="0.2">
      <c r="A53" t="s">
        <v>250</v>
      </c>
      <c r="B53" t="s">
        <v>251</v>
      </c>
      <c r="C53" t="s">
        <v>13</v>
      </c>
      <c r="D53" t="s">
        <v>252</v>
      </c>
      <c r="E53">
        <v>0</v>
      </c>
      <c r="F53">
        <v>3.6659999999999998E-2</v>
      </c>
      <c r="K53" s="4"/>
      <c r="U53">
        <f t="shared" si="7"/>
        <v>0</v>
      </c>
    </row>
    <row r="54" spans="1:21" x14ac:dyDescent="0.2">
      <c r="A54" t="s">
        <v>253</v>
      </c>
      <c r="B54" t="s">
        <v>254</v>
      </c>
      <c r="C54" t="s">
        <v>43</v>
      </c>
      <c r="D54" t="s">
        <v>255</v>
      </c>
      <c r="E54">
        <v>3.9E-2</v>
      </c>
      <c r="F54">
        <v>0.11700000000000001</v>
      </c>
      <c r="K54" s="4"/>
      <c r="U54">
        <f t="shared" si="7"/>
        <v>0</v>
      </c>
    </row>
    <row r="55" spans="1:21" x14ac:dyDescent="0.2">
      <c r="A55" t="s">
        <v>256</v>
      </c>
      <c r="B55" t="s">
        <v>257</v>
      </c>
      <c r="C55" t="s">
        <v>43</v>
      </c>
      <c r="D55" t="s">
        <v>258</v>
      </c>
      <c r="E55">
        <v>3.7999999999999999E-2</v>
      </c>
      <c r="F55">
        <v>0.114</v>
      </c>
      <c r="K55" s="4"/>
      <c r="U55">
        <f t="shared" si="7"/>
        <v>0</v>
      </c>
    </row>
    <row r="56" spans="1:21" x14ac:dyDescent="0.2">
      <c r="A56" t="s">
        <v>9</v>
      </c>
      <c r="B56" t="s">
        <v>10</v>
      </c>
      <c r="C56" t="s">
        <v>11</v>
      </c>
      <c r="D56" t="s">
        <v>12</v>
      </c>
      <c r="E56">
        <v>0.17</v>
      </c>
      <c r="F56">
        <v>0.37</v>
      </c>
      <c r="K56" s="4"/>
      <c r="U56">
        <f t="shared" si="7"/>
        <v>0</v>
      </c>
    </row>
    <row r="57" spans="1:21" x14ac:dyDescent="0.2">
      <c r="A57" t="s">
        <v>35</v>
      </c>
      <c r="B57" t="s">
        <v>36</v>
      </c>
      <c r="C57" t="s">
        <v>13</v>
      </c>
      <c r="D57" t="s">
        <v>37</v>
      </c>
      <c r="E57">
        <v>0</v>
      </c>
      <c r="F57">
        <v>4.2000000000000003E-2</v>
      </c>
      <c r="K57" s="4"/>
      <c r="U57">
        <f t="shared" si="7"/>
        <v>0</v>
      </c>
    </row>
    <row r="58" spans="1:21" x14ac:dyDescent="0.2">
      <c r="A58" t="s">
        <v>65</v>
      </c>
      <c r="B58" t="s">
        <v>66</v>
      </c>
      <c r="C58" t="s">
        <v>13</v>
      </c>
      <c r="D58" t="s">
        <v>67</v>
      </c>
      <c r="E58">
        <v>0</v>
      </c>
      <c r="F58">
        <v>1.7450160000000005E-3</v>
      </c>
      <c r="K58" s="4"/>
      <c r="U58">
        <f t="shared" si="7"/>
        <v>0</v>
      </c>
    </row>
    <row r="59" spans="1:21" x14ac:dyDescent="0.2">
      <c r="A59" t="s">
        <v>68</v>
      </c>
      <c r="B59" t="s">
        <v>69</v>
      </c>
      <c r="C59" t="s">
        <v>13</v>
      </c>
      <c r="D59" t="s">
        <v>70</v>
      </c>
      <c r="E59">
        <v>0</v>
      </c>
      <c r="F59">
        <v>7.8624000000000003E-3</v>
      </c>
      <c r="K59" s="4"/>
      <c r="U59">
        <f t="shared" si="7"/>
        <v>0</v>
      </c>
    </row>
    <row r="60" spans="1:21" x14ac:dyDescent="0.2">
      <c r="A60" t="s">
        <v>71</v>
      </c>
      <c r="B60" t="s">
        <v>72</v>
      </c>
      <c r="C60" t="s">
        <v>13</v>
      </c>
      <c r="D60" t="s">
        <v>73</v>
      </c>
      <c r="E60">
        <v>0</v>
      </c>
      <c r="F60">
        <v>4.7600000000000017E-2</v>
      </c>
      <c r="K60" s="4"/>
      <c r="U60">
        <f t="shared" si="7"/>
        <v>0</v>
      </c>
    </row>
    <row r="61" spans="1:21" x14ac:dyDescent="0.2">
      <c r="A61" t="s">
        <v>38</v>
      </c>
      <c r="B61" t="s">
        <v>39</v>
      </c>
      <c r="C61" t="s">
        <v>13</v>
      </c>
      <c r="D61" t="s">
        <v>40</v>
      </c>
      <c r="E61">
        <v>0</v>
      </c>
      <c r="F61">
        <v>2.128E-2</v>
      </c>
      <c r="K61" s="4"/>
      <c r="U61">
        <f t="shared" si="7"/>
        <v>0</v>
      </c>
    </row>
    <row r="62" spans="1:21" x14ac:dyDescent="0.2">
      <c r="A62" t="s">
        <v>126</v>
      </c>
      <c r="B62" t="s">
        <v>127</v>
      </c>
      <c r="C62" t="s">
        <v>13</v>
      </c>
      <c r="D62" t="s">
        <v>128</v>
      </c>
      <c r="E62">
        <v>0</v>
      </c>
      <c r="F62">
        <v>3.6176000000000012E-3</v>
      </c>
      <c r="K62" s="4"/>
      <c r="U62">
        <f t="shared" si="7"/>
        <v>0</v>
      </c>
    </row>
    <row r="63" spans="1:21" x14ac:dyDescent="0.2">
      <c r="A63" t="s">
        <v>129</v>
      </c>
      <c r="B63" t="s">
        <v>130</v>
      </c>
      <c r="C63" t="s">
        <v>13</v>
      </c>
      <c r="D63" t="s">
        <v>131</v>
      </c>
      <c r="E63">
        <v>0</v>
      </c>
      <c r="F63">
        <v>7.6607999999999997E-3</v>
      </c>
      <c r="K63" s="4"/>
      <c r="U63">
        <f t="shared" si="7"/>
        <v>0</v>
      </c>
    </row>
    <row r="64" spans="1:21" x14ac:dyDescent="0.2">
      <c r="A64" t="s">
        <v>87</v>
      </c>
      <c r="B64" t="s">
        <v>88</v>
      </c>
      <c r="C64" t="s">
        <v>13</v>
      </c>
      <c r="D64" t="s">
        <v>89</v>
      </c>
      <c r="E64">
        <v>0</v>
      </c>
      <c r="F64">
        <v>0</v>
      </c>
      <c r="K64" s="4"/>
      <c r="U64">
        <f t="shared" si="7"/>
        <v>0</v>
      </c>
    </row>
    <row r="65" spans="1:23" x14ac:dyDescent="0.2">
      <c r="A65" t="s">
        <v>93</v>
      </c>
      <c r="B65" t="s">
        <v>94</v>
      </c>
      <c r="C65" t="s">
        <v>13</v>
      </c>
      <c r="D65" t="s">
        <v>95</v>
      </c>
      <c r="E65">
        <v>0</v>
      </c>
      <c r="F65">
        <v>0</v>
      </c>
      <c r="K65" s="4"/>
      <c r="U65">
        <f t="shared" si="7"/>
        <v>0</v>
      </c>
    </row>
    <row r="66" spans="1:23" x14ac:dyDescent="0.2">
      <c r="A66" t="s">
        <v>74</v>
      </c>
      <c r="B66" t="s">
        <v>75</v>
      </c>
      <c r="C66" t="s">
        <v>13</v>
      </c>
      <c r="D66" t="s">
        <v>76</v>
      </c>
      <c r="E66">
        <v>0</v>
      </c>
      <c r="F66">
        <v>0.1008</v>
      </c>
      <c r="K66" s="4"/>
      <c r="U66">
        <f t="shared" si="7"/>
        <v>0</v>
      </c>
    </row>
    <row r="67" spans="1:23" s="3" customFormat="1" x14ac:dyDescent="0.2">
      <c r="A67" t="s">
        <v>90</v>
      </c>
      <c r="B67" t="s">
        <v>91</v>
      </c>
      <c r="C67" t="s">
        <v>13</v>
      </c>
      <c r="D67" t="s">
        <v>92</v>
      </c>
      <c r="E67">
        <v>0</v>
      </c>
      <c r="F67">
        <v>0.34328000000000003</v>
      </c>
      <c r="G67"/>
      <c r="H67"/>
      <c r="I67"/>
      <c r="J67"/>
      <c r="K67" s="4"/>
      <c r="L67"/>
      <c r="M67"/>
      <c r="N67"/>
      <c r="O67"/>
      <c r="P67"/>
      <c r="Q67"/>
      <c r="R67"/>
      <c r="S67"/>
      <c r="T67"/>
      <c r="U67">
        <f t="shared" si="7"/>
        <v>0</v>
      </c>
      <c r="V67"/>
      <c r="W67"/>
    </row>
    <row r="68" spans="1:23" s="3" customFormat="1" x14ac:dyDescent="0.2">
      <c r="A68" t="s">
        <v>96</v>
      </c>
      <c r="B68" t="s">
        <v>97</v>
      </c>
      <c r="C68" t="s">
        <v>13</v>
      </c>
      <c r="D68" t="s">
        <v>98</v>
      </c>
      <c r="E68">
        <v>0</v>
      </c>
      <c r="F68">
        <v>0</v>
      </c>
      <c r="G68"/>
      <c r="H68"/>
      <c r="I68"/>
      <c r="J68"/>
      <c r="K68" s="4"/>
      <c r="L68"/>
      <c r="M68"/>
      <c r="N68"/>
      <c r="O68"/>
      <c r="P68"/>
      <c r="Q68"/>
      <c r="R68"/>
      <c r="S68"/>
      <c r="T68"/>
      <c r="U68">
        <f t="shared" si="7"/>
        <v>0</v>
      </c>
      <c r="V68"/>
      <c r="W68"/>
    </row>
    <row r="69" spans="1:23" x14ac:dyDescent="0.2">
      <c r="A69" s="3" t="s">
        <v>228</v>
      </c>
      <c r="B69" s="3" t="s">
        <v>229</v>
      </c>
      <c r="C69" s="3" t="s">
        <v>174</v>
      </c>
      <c r="D69" s="3" t="s">
        <v>223</v>
      </c>
      <c r="E69" s="3">
        <v>0.5</v>
      </c>
      <c r="F69" s="3">
        <v>1</v>
      </c>
      <c r="G69" s="3"/>
      <c r="H69" s="3"/>
      <c r="I69" s="3"/>
      <c r="J69" s="3"/>
      <c r="K69" s="5"/>
      <c r="L69" s="3"/>
      <c r="M69" s="3"/>
      <c r="N69" s="3"/>
      <c r="O69" s="3"/>
      <c r="P69" s="3"/>
      <c r="Q69" s="3"/>
      <c r="R69" s="3"/>
      <c r="S69" s="3"/>
      <c r="T69" s="3"/>
      <c r="U69" s="3">
        <f t="shared" si="7"/>
        <v>0</v>
      </c>
      <c r="V69" s="3"/>
      <c r="W69" s="3"/>
    </row>
    <row r="70" spans="1:23" x14ac:dyDescent="0.2">
      <c r="A70" s="3" t="s">
        <v>263</v>
      </c>
      <c r="B70" s="3" t="s">
        <v>264</v>
      </c>
      <c r="C70" s="3" t="s">
        <v>174</v>
      </c>
      <c r="D70" s="3" t="s">
        <v>223</v>
      </c>
      <c r="E70" s="3">
        <v>0.5</v>
      </c>
      <c r="F70" s="3">
        <v>1</v>
      </c>
      <c r="G70" s="3"/>
      <c r="H70" s="3"/>
      <c r="I70" s="3"/>
      <c r="J70" s="3"/>
      <c r="K70" s="5"/>
      <c r="L70" s="3"/>
      <c r="M70" s="3"/>
      <c r="N70" s="3"/>
      <c r="O70" s="3"/>
      <c r="P70" s="3"/>
      <c r="Q70" s="3"/>
      <c r="R70" s="3"/>
      <c r="S70" s="3"/>
      <c r="T70" s="3"/>
      <c r="U70" s="3">
        <f t="shared" si="7"/>
        <v>0</v>
      </c>
      <c r="V70" s="3"/>
      <c r="W70" s="3"/>
    </row>
    <row r="71" spans="1:23" x14ac:dyDescent="0.2">
      <c r="A71" t="s">
        <v>83</v>
      </c>
      <c r="B71" t="s">
        <v>84</v>
      </c>
      <c r="C71" t="s">
        <v>43</v>
      </c>
      <c r="D71" t="s">
        <v>79</v>
      </c>
      <c r="E71">
        <v>2.0000000000000001E-4</v>
      </c>
      <c r="F71">
        <v>5.9999999999999995E-4</v>
      </c>
      <c r="K71" s="4"/>
      <c r="U71">
        <f t="shared" si="7"/>
        <v>0</v>
      </c>
    </row>
    <row r="72" spans="1:23" x14ac:dyDescent="0.2">
      <c r="A72" t="s">
        <v>151</v>
      </c>
      <c r="B72" t="s">
        <v>152</v>
      </c>
      <c r="C72" t="s">
        <v>43</v>
      </c>
      <c r="D72" t="s">
        <v>138</v>
      </c>
      <c r="E72">
        <v>1E-4</v>
      </c>
      <c r="F72">
        <v>2.9999999999999997E-4</v>
      </c>
      <c r="K72" s="4"/>
      <c r="U72">
        <f t="shared" si="7"/>
        <v>0</v>
      </c>
    </row>
    <row r="73" spans="1:23" x14ac:dyDescent="0.2">
      <c r="A73" t="s">
        <v>153</v>
      </c>
      <c r="B73" t="s">
        <v>154</v>
      </c>
      <c r="C73" t="s">
        <v>43</v>
      </c>
      <c r="D73" t="s">
        <v>79</v>
      </c>
      <c r="E73">
        <v>2.0000000000000001E-4</v>
      </c>
      <c r="F73">
        <v>5.9999999999999995E-4</v>
      </c>
      <c r="K73" s="4"/>
      <c r="U73">
        <f t="shared" si="7"/>
        <v>0</v>
      </c>
    </row>
    <row r="74" spans="1:23" x14ac:dyDescent="0.2">
      <c r="A74" t="s">
        <v>77</v>
      </c>
      <c r="B74" t="s">
        <v>78</v>
      </c>
      <c r="C74" t="s">
        <v>43</v>
      </c>
      <c r="D74" t="s">
        <v>79</v>
      </c>
      <c r="E74">
        <v>2.0000000000000001E-4</v>
      </c>
      <c r="F74">
        <v>5.9999999999999995E-4</v>
      </c>
      <c r="K74" s="4"/>
      <c r="U74">
        <f t="shared" si="7"/>
        <v>0</v>
      </c>
    </row>
    <row r="75" spans="1:23" x14ac:dyDescent="0.2">
      <c r="A75" t="s">
        <v>136</v>
      </c>
      <c r="B75" t="s">
        <v>137</v>
      </c>
      <c r="C75" t="s">
        <v>43</v>
      </c>
      <c r="D75" t="s">
        <v>138</v>
      </c>
      <c r="E75">
        <v>1E-4</v>
      </c>
      <c r="F75">
        <v>2.9999999999999997E-4</v>
      </c>
      <c r="K75" s="4"/>
      <c r="U75">
        <f t="shared" si="7"/>
        <v>0</v>
      </c>
    </row>
    <row r="76" spans="1:23" x14ac:dyDescent="0.2">
      <c r="A76" t="s">
        <v>139</v>
      </c>
      <c r="B76" t="s">
        <v>140</v>
      </c>
      <c r="C76" t="s">
        <v>43</v>
      </c>
      <c r="D76" t="s">
        <v>79</v>
      </c>
      <c r="E76">
        <v>2.0000000000000001E-4</v>
      </c>
      <c r="F76">
        <v>5.9999999999999995E-4</v>
      </c>
      <c r="K76" s="4"/>
      <c r="U76">
        <f t="shared" si="7"/>
        <v>0</v>
      </c>
    </row>
    <row r="77" spans="1:23" x14ac:dyDescent="0.2">
      <c r="A77" t="s">
        <v>80</v>
      </c>
      <c r="B77" t="s">
        <v>81</v>
      </c>
      <c r="C77" t="s">
        <v>43</v>
      </c>
      <c r="D77" t="s">
        <v>82</v>
      </c>
      <c r="E77">
        <v>3.2000000000000003E-4</v>
      </c>
      <c r="F77">
        <v>9.6000000000000002E-4</v>
      </c>
      <c r="K77" s="4"/>
      <c r="U77">
        <f t="shared" si="7"/>
        <v>0</v>
      </c>
    </row>
    <row r="78" spans="1:23" x14ac:dyDescent="0.2">
      <c r="A78" t="s">
        <v>141</v>
      </c>
      <c r="B78" t="s">
        <v>142</v>
      </c>
      <c r="C78" t="s">
        <v>143</v>
      </c>
      <c r="D78" t="s">
        <v>121</v>
      </c>
      <c r="E78">
        <v>0</v>
      </c>
      <c r="F78">
        <v>1E-4</v>
      </c>
      <c r="K78" s="4"/>
      <c r="U78">
        <f t="shared" ref="U78:U109" si="8">M78</f>
        <v>0</v>
      </c>
    </row>
    <row r="79" spans="1:23" x14ac:dyDescent="0.2">
      <c r="A79" t="s">
        <v>144</v>
      </c>
      <c r="B79" t="s">
        <v>145</v>
      </c>
      <c r="C79" t="s">
        <v>43</v>
      </c>
      <c r="D79" t="s">
        <v>146</v>
      </c>
      <c r="E79">
        <v>5.0000000000000002E-5</v>
      </c>
      <c r="F79">
        <v>1.4999999999999999E-4</v>
      </c>
      <c r="K79" s="4"/>
      <c r="U79">
        <f t="shared" si="8"/>
        <v>0</v>
      </c>
    </row>
    <row r="80" spans="1:23" x14ac:dyDescent="0.2">
      <c r="A80" t="s">
        <v>166</v>
      </c>
      <c r="B80" t="s">
        <v>167</v>
      </c>
      <c r="C80" t="s">
        <v>43</v>
      </c>
      <c r="D80" t="s">
        <v>168</v>
      </c>
      <c r="E80">
        <v>4.4999999999999999E-4</v>
      </c>
      <c r="F80">
        <v>1.3500000000000001E-3</v>
      </c>
      <c r="K80" s="4"/>
      <c r="U80">
        <f t="shared" si="8"/>
        <v>0</v>
      </c>
    </row>
    <row r="81" spans="1:23" x14ac:dyDescent="0.2">
      <c r="A81" t="s">
        <v>169</v>
      </c>
      <c r="B81" t="s">
        <v>170</v>
      </c>
      <c r="C81" t="s">
        <v>43</v>
      </c>
      <c r="D81" t="s">
        <v>171</v>
      </c>
      <c r="E81">
        <v>8.9999999999999998E-4</v>
      </c>
      <c r="F81">
        <v>2.7000000000000001E-3</v>
      </c>
      <c r="K81" s="4"/>
      <c r="U81">
        <f t="shared" si="8"/>
        <v>0</v>
      </c>
    </row>
    <row r="82" spans="1:23" x14ac:dyDescent="0.2">
      <c r="A82" t="s">
        <v>5</v>
      </c>
      <c r="B82" t="s">
        <v>6</v>
      </c>
      <c r="C82" t="s">
        <v>7</v>
      </c>
      <c r="D82" t="s">
        <v>8</v>
      </c>
      <c r="E82">
        <v>0.1108</v>
      </c>
      <c r="F82">
        <v>0.12280000000000001</v>
      </c>
      <c r="K82" s="4"/>
      <c r="U82">
        <f t="shared" si="8"/>
        <v>0</v>
      </c>
    </row>
    <row r="83" spans="1:23" x14ac:dyDescent="0.2">
      <c r="A83" t="s">
        <v>155</v>
      </c>
      <c r="B83" t="s">
        <v>156</v>
      </c>
      <c r="C83" t="s">
        <v>13</v>
      </c>
      <c r="D83" t="s">
        <v>157</v>
      </c>
      <c r="E83">
        <v>0</v>
      </c>
      <c r="F83">
        <v>0</v>
      </c>
      <c r="K83" s="4"/>
      <c r="U83">
        <f t="shared" si="8"/>
        <v>0</v>
      </c>
    </row>
    <row r="84" spans="1:23" x14ac:dyDescent="0.2">
      <c r="A84" t="s">
        <v>158</v>
      </c>
      <c r="B84" t="s">
        <v>159</v>
      </c>
      <c r="C84" t="s">
        <v>13</v>
      </c>
      <c r="D84" t="s">
        <v>155</v>
      </c>
      <c r="E84">
        <v>0</v>
      </c>
      <c r="F84">
        <v>0</v>
      </c>
      <c r="K84" s="4"/>
      <c r="U84">
        <f t="shared" si="8"/>
        <v>0</v>
      </c>
    </row>
    <row r="85" spans="1:23" x14ac:dyDescent="0.2">
      <c r="A85" s="3" t="s">
        <v>235</v>
      </c>
      <c r="B85" s="3" t="s">
        <v>236</v>
      </c>
      <c r="C85" s="3" t="s">
        <v>174</v>
      </c>
      <c r="D85" s="3" t="s">
        <v>223</v>
      </c>
      <c r="E85" s="3">
        <v>0.7</v>
      </c>
      <c r="F85" s="3">
        <v>1</v>
      </c>
      <c r="G85" s="3"/>
      <c r="H85" s="3"/>
      <c r="I85" s="3"/>
      <c r="J85" s="3"/>
      <c r="K85" s="5"/>
      <c r="L85" s="3"/>
      <c r="M85" s="3"/>
      <c r="N85" s="3"/>
      <c r="O85" s="3"/>
      <c r="P85" s="3"/>
      <c r="Q85" s="3"/>
      <c r="R85" s="3"/>
      <c r="S85" s="3"/>
      <c r="T85" s="3"/>
      <c r="U85" s="3">
        <f t="shared" si="8"/>
        <v>0</v>
      </c>
      <c r="V85" s="3"/>
      <c r="W85" s="3"/>
    </row>
    <row r="86" spans="1:23" x14ac:dyDescent="0.2">
      <c r="A86" t="s">
        <v>224</v>
      </c>
      <c r="B86" t="s">
        <v>225</v>
      </c>
      <c r="C86" t="s">
        <v>226</v>
      </c>
      <c r="D86" t="s">
        <v>227</v>
      </c>
      <c r="E86">
        <v>0.3</v>
      </c>
      <c r="F86">
        <v>0.5</v>
      </c>
      <c r="K86" s="4"/>
      <c r="U86">
        <f t="shared" si="8"/>
        <v>0</v>
      </c>
    </row>
    <row r="87" spans="1:23" x14ac:dyDescent="0.2">
      <c r="A87" s="3" t="s">
        <v>230</v>
      </c>
      <c r="B87" s="3" t="s">
        <v>231</v>
      </c>
      <c r="C87" s="3" t="s">
        <v>174</v>
      </c>
      <c r="D87" s="3" t="s">
        <v>223</v>
      </c>
      <c r="E87" s="3">
        <v>0.7</v>
      </c>
      <c r="F87" s="3">
        <v>1</v>
      </c>
      <c r="G87" s="3"/>
      <c r="H87" s="3"/>
      <c r="I87" s="3"/>
      <c r="J87" s="3"/>
      <c r="K87" s="5"/>
      <c r="L87" s="3"/>
      <c r="M87" s="3"/>
      <c r="N87" s="3"/>
      <c r="O87" s="3"/>
      <c r="P87" s="3"/>
      <c r="Q87" s="3"/>
      <c r="R87" s="3"/>
      <c r="S87" s="3"/>
      <c r="T87" s="3"/>
      <c r="U87" s="3">
        <f t="shared" si="8"/>
        <v>0</v>
      </c>
      <c r="V87" s="3"/>
      <c r="W87" s="3"/>
    </row>
    <row r="88" spans="1:23" x14ac:dyDescent="0.2">
      <c r="A88" s="3" t="s">
        <v>259</v>
      </c>
      <c r="B88" s="3" t="s">
        <v>260</v>
      </c>
      <c r="C88" s="3" t="s">
        <v>261</v>
      </c>
      <c r="D88" s="3" t="s">
        <v>262</v>
      </c>
      <c r="E88" s="3">
        <v>0.3</v>
      </c>
      <c r="F88" s="3">
        <v>0.73</v>
      </c>
      <c r="G88" s="3"/>
      <c r="H88" s="3"/>
      <c r="I88" s="3"/>
      <c r="J88" s="3"/>
      <c r="K88" s="5"/>
      <c r="L88" s="3"/>
      <c r="M88" s="3"/>
      <c r="N88" s="3"/>
      <c r="O88" s="3"/>
      <c r="P88" s="3"/>
      <c r="Q88" s="3"/>
      <c r="R88" s="3"/>
      <c r="S88" s="3"/>
      <c r="T88" s="3"/>
      <c r="U88" s="3">
        <f t="shared" si="8"/>
        <v>0</v>
      </c>
      <c r="V88" s="3"/>
      <c r="W88" s="3"/>
    </row>
    <row r="89" spans="1:23" x14ac:dyDescent="0.2">
      <c r="A89" t="s">
        <v>188</v>
      </c>
      <c r="B89" t="s">
        <v>189</v>
      </c>
      <c r="C89" t="s">
        <v>174</v>
      </c>
      <c r="D89" t="s">
        <v>190</v>
      </c>
      <c r="E89">
        <v>0.3</v>
      </c>
      <c r="F89">
        <v>0.8</v>
      </c>
      <c r="K89" s="4"/>
      <c r="U89">
        <f t="shared" si="8"/>
        <v>0</v>
      </c>
    </row>
    <row r="90" spans="1:23" s="3" customFormat="1" x14ac:dyDescent="0.2">
      <c r="A90" t="s">
        <v>179</v>
      </c>
      <c r="B90" t="s">
        <v>180</v>
      </c>
      <c r="C90" t="s">
        <v>174</v>
      </c>
      <c r="D90" t="s">
        <v>181</v>
      </c>
      <c r="E90">
        <v>0.7</v>
      </c>
      <c r="F90">
        <v>0.95</v>
      </c>
      <c r="G90"/>
      <c r="H90"/>
      <c r="I90"/>
      <c r="J90"/>
      <c r="K90" s="4"/>
      <c r="L90"/>
      <c r="M90"/>
      <c r="N90"/>
      <c r="O90"/>
      <c r="P90"/>
      <c r="Q90"/>
      <c r="R90"/>
      <c r="S90"/>
      <c r="T90"/>
      <c r="U90">
        <f t="shared" si="8"/>
        <v>0</v>
      </c>
      <c r="V90"/>
      <c r="W90"/>
    </row>
    <row r="91" spans="1:23" x14ac:dyDescent="0.2">
      <c r="K91" s="4"/>
      <c r="U91">
        <f t="shared" si="8"/>
        <v>0</v>
      </c>
    </row>
    <row r="92" spans="1:23" s="3" customFormat="1" x14ac:dyDescent="0.2">
      <c r="A92"/>
      <c r="B92"/>
      <c r="C92"/>
      <c r="D92"/>
      <c r="E92"/>
      <c r="F92"/>
      <c r="G92"/>
      <c r="H92"/>
      <c r="I92"/>
      <c r="J92"/>
      <c r="K92" s="4"/>
      <c r="L92"/>
      <c r="M92"/>
      <c r="N92"/>
      <c r="O92"/>
      <c r="P92"/>
      <c r="Q92"/>
      <c r="R92"/>
      <c r="S92"/>
      <c r="T92"/>
      <c r="U92">
        <f t="shared" si="8"/>
        <v>0</v>
      </c>
      <c r="V92"/>
      <c r="W92"/>
    </row>
    <row r="93" spans="1:23" x14ac:dyDescent="0.2">
      <c r="K93" s="4"/>
      <c r="U93">
        <f t="shared" si="8"/>
        <v>0</v>
      </c>
    </row>
    <row r="94" spans="1:23" x14ac:dyDescent="0.2">
      <c r="K94" s="4"/>
      <c r="U94">
        <f t="shared" si="8"/>
        <v>0</v>
      </c>
    </row>
    <row r="95" spans="1:23" x14ac:dyDescent="0.2">
      <c r="K95" s="4"/>
      <c r="U95">
        <f t="shared" si="8"/>
        <v>0</v>
      </c>
    </row>
    <row r="96" spans="1:23" x14ac:dyDescent="0.2">
      <c r="K96" s="4"/>
      <c r="U96">
        <f t="shared" si="8"/>
        <v>0</v>
      </c>
    </row>
    <row r="97" spans="1:23" x14ac:dyDescent="0.2">
      <c r="K97" s="4"/>
      <c r="U97">
        <f t="shared" si="8"/>
        <v>0</v>
      </c>
    </row>
    <row r="98" spans="1:23" s="3" customFormat="1" x14ac:dyDescent="0.2">
      <c r="A98"/>
      <c r="B98"/>
      <c r="C98"/>
      <c r="D98"/>
      <c r="E98"/>
      <c r="F98"/>
      <c r="G98"/>
      <c r="H98"/>
      <c r="I98"/>
      <c r="J98"/>
      <c r="K98" s="4"/>
      <c r="L98"/>
      <c r="M98"/>
      <c r="N98"/>
      <c r="O98"/>
      <c r="P98"/>
      <c r="Q98"/>
      <c r="R98"/>
      <c r="S98"/>
      <c r="T98"/>
      <c r="U98">
        <f t="shared" si="8"/>
        <v>0</v>
      </c>
      <c r="V98"/>
      <c r="W98"/>
    </row>
    <row r="99" spans="1:23" x14ac:dyDescent="0.2">
      <c r="K99" s="4"/>
      <c r="U99">
        <f t="shared" si="8"/>
        <v>0</v>
      </c>
    </row>
    <row r="100" spans="1:23" s="3" customFormat="1" x14ac:dyDescent="0.2">
      <c r="A100"/>
      <c r="B100"/>
      <c r="C100"/>
      <c r="D100"/>
      <c r="E100"/>
      <c r="F100"/>
      <c r="G100"/>
      <c r="H100"/>
      <c r="I100"/>
      <c r="J100"/>
      <c r="K100" s="4"/>
      <c r="L100"/>
      <c r="M100"/>
      <c r="N100"/>
      <c r="O100"/>
      <c r="P100"/>
      <c r="Q100"/>
      <c r="R100"/>
      <c r="S100"/>
      <c r="T100"/>
      <c r="U100">
        <f t="shared" si="8"/>
        <v>0</v>
      </c>
      <c r="V100"/>
      <c r="W100"/>
    </row>
    <row r="101" spans="1:23" x14ac:dyDescent="0.2">
      <c r="K101" s="4"/>
      <c r="U101">
        <f t="shared" si="8"/>
        <v>0</v>
      </c>
    </row>
    <row r="102" spans="1:23" x14ac:dyDescent="0.2">
      <c r="K102" s="4"/>
      <c r="U102">
        <f t="shared" si="8"/>
        <v>0</v>
      </c>
    </row>
    <row r="103" spans="1:23" x14ac:dyDescent="0.2">
      <c r="K103" s="4"/>
      <c r="U103">
        <f t="shared" si="8"/>
        <v>0</v>
      </c>
    </row>
    <row r="104" spans="1:23" x14ac:dyDescent="0.2">
      <c r="K104" s="4"/>
      <c r="U104">
        <f t="shared" si="8"/>
        <v>0</v>
      </c>
    </row>
    <row r="105" spans="1:23" x14ac:dyDescent="0.2">
      <c r="K105" s="4"/>
      <c r="U105">
        <f t="shared" si="8"/>
        <v>0</v>
      </c>
    </row>
    <row r="106" spans="1:23" x14ac:dyDescent="0.2">
      <c r="K106" s="4"/>
      <c r="U106">
        <f t="shared" si="8"/>
        <v>0</v>
      </c>
    </row>
    <row r="107" spans="1:23" x14ac:dyDescent="0.2">
      <c r="K107" s="4"/>
      <c r="U107">
        <f t="shared" si="8"/>
        <v>0</v>
      </c>
    </row>
    <row r="108" spans="1:23" x14ac:dyDescent="0.2">
      <c r="K108" s="4"/>
      <c r="U108">
        <f t="shared" si="8"/>
        <v>0</v>
      </c>
    </row>
    <row r="109" spans="1:23" x14ac:dyDescent="0.2">
      <c r="K109" s="4"/>
      <c r="U109">
        <f t="shared" si="8"/>
        <v>0</v>
      </c>
    </row>
  </sheetData>
  <pageMargins left="0.75" right="0.75" top="1" bottom="1" header="0.5" footer="0.5"/>
  <pageSetup orientation="portrait" horizontalDpi="300" verticalDpi="300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Variables</vt:lpstr>
      <vt:lpstr>Variables!table1start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Kenneth</dc:creator>
  <cp:lastModifiedBy>Jonathan Raviotta</cp:lastModifiedBy>
  <dcterms:created xsi:type="dcterms:W3CDTF">2014-10-29T12:07:56Z</dcterms:created>
  <dcterms:modified xsi:type="dcterms:W3CDTF">2014-11-03T22:46:14Z</dcterms:modified>
</cp:coreProperties>
</file>