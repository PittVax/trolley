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25" windowWidth="17820" windowHeight="10680"/>
  </bookViews>
  <sheets>
    <sheet name="table" sheetId="1" r:id="rId1"/>
  </sheets>
  <calcPr calcId="145621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5" i="1"/>
  <c r="F16" i="1" l="1"/>
</calcChain>
</file>

<file path=xl/sharedStrings.xml><?xml version="1.0" encoding="utf-8"?>
<sst xmlns="http://schemas.openxmlformats.org/spreadsheetml/2006/main" count="30" uniqueCount="22">
  <si>
    <t>Table 4.</t>
  </si>
  <si>
    <t xml:space="preserve">        Distribution of influenza B viruses by lineage and season from virologic surveillance.</t>
  </si>
  <si>
    <t>Season</t>
  </si>
  <si>
    <t>% of B among all influenza viruses</t>
  </si>
  <si>
    <t>% of B from Yamagata lineage</t>
  </si>
  <si>
    <t>% of B from Victoria lineage</t>
  </si>
  <si>
    <t>Lineage included in TIV?</t>
  </si>
  <si>
    <t>1999–2000</t>
  </si>
  <si>
    <t>Yamagata</t>
  </si>
  <si>
    <t>2000–2001</t>
  </si>
  <si>
    <t>2001–2002</t>
  </si>
  <si>
    <t>2002–2003</t>
  </si>
  <si>
    <t>Victoria</t>
  </si>
  <si>
    <t>2003–2004</t>
  </si>
  <si>
    <t>2004–2005</t>
  </si>
  <si>
    <t>2005–2006</t>
  </si>
  <si>
    <t>2006–2007</t>
  </si>
  <si>
    <t>2007–2008</t>
  </si>
  <si>
    <t>2008–2009</t>
  </si>
  <si>
    <t>Proportion of uncovered flu (TIV vs QIV)</t>
  </si>
  <si>
    <t>Public health impact of including two lineages of influenza B in a quadrivalent seasonal influenza vaccine. Reed et al (CDC). Vaccine 2012; 30: 1993–1998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</si>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</sst>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24" sqref="D24"/>
    </sheetView>
  </sheetViews>
  <sheetFormatPr defaultRowHeight="15" x14ac:dyDescent="0.25"/>
  <cols>
    <col min="1" max="1" width="10.5703125" customWidth="1"/>
    <col min="2" max="2" width="32.42578125" style="1" customWidth="1"/>
    <col min="3" max="3" width="28.28515625" style="1" customWidth="1"/>
    <col min="4" max="4" width="26.28515625" style="1" customWidth="1"/>
    <col min="5" max="5" width="22.7109375" style="1" customWidth="1"/>
    <col min="6" max="6" width="38.7109375" style="1" customWidth="1"/>
  </cols>
  <sheetData>
    <row r="1" spans="1:7" x14ac:dyDescent="0.25">
      <c r="A1" t="s">
        <v>0</v>
      </c>
      <c r="B1" s="5" t="s">
        <v>20</v>
      </c>
    </row>
    <row r="2" spans="1:7" x14ac:dyDescent="0.25">
      <c r="A2" t="s">
        <v>1</v>
      </c>
    </row>
    <row r="4" spans="1:7" x14ac:dyDescent="0.25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19</v>
      </c>
    </row>
    <row r="5" spans="1:7" x14ac:dyDescent="0.25">
      <c r="A5" t="s">
        <v>7</v>
      </c>
      <c r="B5" s="2">
        <v>4.0000000000000001E-3</v>
      </c>
      <c r="C5" s="3">
        <v>1</v>
      </c>
      <c r="D5" s="3">
        <v>0</v>
      </c>
      <c r="E5" s="1" t="s">
        <v>8</v>
      </c>
      <c r="F5" s="4">
        <f xml:space="preserve"> B5*IF(E5="Yamagata",D5,C5)</f>
        <v>0</v>
      </c>
    </row>
    <row r="6" spans="1:7" x14ac:dyDescent="0.25">
      <c r="A6" t="s">
        <v>9</v>
      </c>
      <c r="B6" s="3">
        <v>0.46</v>
      </c>
      <c r="C6" s="3">
        <v>1</v>
      </c>
      <c r="D6" s="3">
        <v>0</v>
      </c>
      <c r="E6" s="1" t="s">
        <v>8</v>
      </c>
      <c r="F6" s="4">
        <f t="shared" ref="F6:F14" si="0" xml:space="preserve"> B6*IF(E6="Yamagata",D6,C6)</f>
        <v>0</v>
      </c>
    </row>
    <row r="7" spans="1:7" x14ac:dyDescent="0.25">
      <c r="A7" t="s">
        <v>10</v>
      </c>
      <c r="B7" s="3">
        <v>0.13</v>
      </c>
      <c r="C7" s="3">
        <v>0.23</v>
      </c>
      <c r="D7" s="3">
        <v>0.77</v>
      </c>
      <c r="E7" s="1" t="s">
        <v>8</v>
      </c>
      <c r="F7" s="4">
        <f t="shared" si="0"/>
        <v>0.10010000000000001</v>
      </c>
    </row>
    <row r="8" spans="1:7" x14ac:dyDescent="0.25">
      <c r="A8" t="s">
        <v>11</v>
      </c>
      <c r="B8" s="3">
        <v>0.43</v>
      </c>
      <c r="C8" s="2">
        <v>4.0000000000000001E-3</v>
      </c>
      <c r="D8" s="2">
        <v>0.996</v>
      </c>
      <c r="E8" s="1" t="s">
        <v>12</v>
      </c>
      <c r="F8" s="4">
        <f t="shared" si="0"/>
        <v>1.72E-3</v>
      </c>
    </row>
    <row r="9" spans="1:7" x14ac:dyDescent="0.25">
      <c r="A9" t="s">
        <v>13</v>
      </c>
      <c r="B9" s="3">
        <v>0.01</v>
      </c>
      <c r="C9" s="3">
        <v>0.93</v>
      </c>
      <c r="D9" s="3">
        <v>7.0000000000000007E-2</v>
      </c>
      <c r="E9" s="1" t="s">
        <v>12</v>
      </c>
      <c r="F9" s="4">
        <f t="shared" si="0"/>
        <v>9.300000000000001E-3</v>
      </c>
    </row>
    <row r="10" spans="1:7" x14ac:dyDescent="0.25">
      <c r="A10" t="s">
        <v>14</v>
      </c>
      <c r="B10" s="3">
        <v>0.25</v>
      </c>
      <c r="C10" s="3">
        <v>0.74</v>
      </c>
      <c r="D10" s="3">
        <v>0.26</v>
      </c>
      <c r="E10" s="1" t="s">
        <v>8</v>
      </c>
      <c r="F10" s="4">
        <f t="shared" si="0"/>
        <v>6.5000000000000002E-2</v>
      </c>
    </row>
    <row r="11" spans="1:7" x14ac:dyDescent="0.25">
      <c r="A11" t="s">
        <v>15</v>
      </c>
      <c r="B11" s="3">
        <v>0.19</v>
      </c>
      <c r="C11" s="3">
        <v>0.22</v>
      </c>
      <c r="D11" s="3">
        <v>0.78</v>
      </c>
      <c r="E11" s="1" t="s">
        <v>8</v>
      </c>
      <c r="F11" s="4">
        <f t="shared" si="0"/>
        <v>0.1482</v>
      </c>
    </row>
    <row r="12" spans="1:7" x14ac:dyDescent="0.25">
      <c r="A12" t="s">
        <v>16</v>
      </c>
      <c r="B12" s="3">
        <v>0.21</v>
      </c>
      <c r="C12" s="3">
        <v>0.24</v>
      </c>
      <c r="D12" s="3">
        <v>0.77</v>
      </c>
      <c r="E12" s="1" t="s">
        <v>12</v>
      </c>
      <c r="F12" s="4">
        <f t="shared" si="0"/>
        <v>5.0399999999999993E-2</v>
      </c>
    </row>
    <row r="13" spans="1:7" x14ac:dyDescent="0.25">
      <c r="A13" t="s">
        <v>17</v>
      </c>
      <c r="B13" s="3">
        <v>0.28999999999999998</v>
      </c>
      <c r="C13" s="3">
        <v>0.98</v>
      </c>
      <c r="D13" s="3">
        <v>0.02</v>
      </c>
      <c r="E13" s="1" t="s">
        <v>12</v>
      </c>
      <c r="F13" s="4">
        <f t="shared" si="0"/>
        <v>0.28419999999999995</v>
      </c>
    </row>
    <row r="14" spans="1:7" x14ac:dyDescent="0.25">
      <c r="A14" t="s">
        <v>18</v>
      </c>
      <c r="B14" s="3">
        <v>0.33</v>
      </c>
      <c r="C14" s="3">
        <v>0.17</v>
      </c>
      <c r="D14" s="3">
        <v>0.83</v>
      </c>
      <c r="E14" s="1" t="s">
        <v>8</v>
      </c>
      <c r="F14" s="4">
        <f t="shared" si="0"/>
        <v>0.27389999999999998</v>
      </c>
    </row>
    <row r="16" spans="1:7" x14ac:dyDescent="0.25">
      <c r="F16" s="4">
        <f>AVERAGE(F5:F14)</f>
        <v>9.3282000000000004E-2</v>
      </c>
      <c r="G16" s="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Smith, Kenneth</cp:lastModifiedBy>
  <dcterms:created xsi:type="dcterms:W3CDTF">2015-01-27T15:52:30Z</dcterms:created>
  <dcterms:modified xsi:type="dcterms:W3CDTF">2015-01-27T20:26:08Z</dcterms:modified>
</cp:coreProperties>
</file>