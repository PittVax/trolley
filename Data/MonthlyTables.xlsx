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6340" yWindow="30" windowWidth="21810" windowHeight="12405" activeTab="1"/>
  </bookViews>
  <sheets>
    <sheet name="Calc" sheetId="2" r:id="rId1"/>
    <sheet name="casesbyweek" sheetId="5" r:id="rId2"/>
    <sheet name="positives_byweek" sheetId="7" r:id="rId3"/>
    <sheet name="kid_avg_vax_rates_2010-2014" sheetId="8" r:id="rId4"/>
  </sheets>
  <calcPr calcId="145621"/>
  <pivotCaches>
    <pivotCache cacheId="0" r:id="rId5"/>
    <pivotCache cacheId="6" r:id="rId6"/>
    <pivotCache cacheId="4" r:id="rId7"/>
  </pivotCaches>
</workbook>
</file>

<file path=xl/calcChain.xml><?xml version="1.0" encoding="utf-8"?>
<calcChain xmlns="http://schemas.openxmlformats.org/spreadsheetml/2006/main">
  <c r="T3" i="5" l="1"/>
  <c r="T2" i="5"/>
  <c r="T3" i="8"/>
  <c r="T2" i="8"/>
  <c r="S3" i="8" s="1"/>
  <c r="S4" i="8" s="1"/>
  <c r="S2" i="8"/>
  <c r="S5" i="8" l="1"/>
  <c r="T4" i="8"/>
  <c r="R10" i="5"/>
  <c r="R2" i="5"/>
  <c r="S6" i="8" l="1"/>
  <c r="T5" i="8"/>
  <c r="R11" i="8"/>
  <c r="R10" i="8"/>
  <c r="R9" i="8"/>
  <c r="R8" i="8"/>
  <c r="R7" i="8"/>
  <c r="R6" i="8"/>
  <c r="R5" i="8"/>
  <c r="R4" i="8"/>
  <c r="R3" i="8"/>
  <c r="R2" i="8"/>
  <c r="R11" i="7"/>
  <c r="R10" i="7"/>
  <c r="R9" i="7"/>
  <c r="R8" i="7"/>
  <c r="R7" i="7"/>
  <c r="R6" i="7"/>
  <c r="R5" i="7"/>
  <c r="R4" i="7"/>
  <c r="R3" i="7"/>
  <c r="R2" i="7"/>
  <c r="S2" i="7" s="1"/>
  <c r="T2" i="7" s="1"/>
  <c r="R11" i="5"/>
  <c r="R9" i="5"/>
  <c r="R8" i="5"/>
  <c r="R7" i="5"/>
  <c r="R6" i="5"/>
  <c r="R5" i="5"/>
  <c r="R4" i="5"/>
  <c r="R3" i="5"/>
  <c r="S2" i="5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2" i="7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1" i="5"/>
  <c r="C22" i="5"/>
  <c r="C23" i="5"/>
  <c r="C20" i="5"/>
  <c r="T6" i="8" l="1"/>
  <c r="S7" i="8" s="1"/>
  <c r="S3" i="7"/>
  <c r="S3" i="5"/>
  <c r="S4" i="5" s="1"/>
  <c r="H2" i="2"/>
  <c r="I2" i="2" s="1"/>
  <c r="J2" i="2" s="1"/>
  <c r="H3" i="2"/>
  <c r="H4" i="2"/>
  <c r="H5" i="2"/>
  <c r="H6" i="2"/>
  <c r="H7" i="2"/>
  <c r="H8" i="2"/>
  <c r="H9" i="2"/>
  <c r="H10" i="2"/>
  <c r="H11" i="2"/>
  <c r="S5" i="5" l="1"/>
  <c r="T4" i="5"/>
  <c r="T3" i="7"/>
  <c r="S4" i="7" s="1"/>
  <c r="T4" i="7" s="1"/>
  <c r="S5" i="7" s="1"/>
  <c r="S8" i="8"/>
  <c r="T7" i="8"/>
  <c r="I3" i="2"/>
  <c r="J3" i="2" s="1"/>
  <c r="I4" i="2" s="1"/>
  <c r="J4" i="2" s="1"/>
  <c r="I5" i="2" s="1"/>
  <c r="J5" i="2" s="1"/>
  <c r="I6" i="2" s="1"/>
  <c r="J6" i="2" s="1"/>
  <c r="I7" i="2" s="1"/>
  <c r="J7" i="2" s="1"/>
  <c r="I8" i="2" s="1"/>
  <c r="J8" i="2" s="1"/>
  <c r="I9" i="2" s="1"/>
  <c r="J9" i="2" s="1"/>
  <c r="I10" i="2" s="1"/>
  <c r="J10" i="2" s="1"/>
  <c r="I11" i="2" s="1"/>
  <c r="J11" i="2" s="1"/>
  <c r="S6" i="5" l="1"/>
  <c r="T5" i="5"/>
  <c r="T5" i="7"/>
  <c r="S6" i="7" s="1"/>
  <c r="T8" i="8"/>
  <c r="S9" i="8" s="1"/>
  <c r="S7" i="5" l="1"/>
  <c r="T6" i="5"/>
  <c r="T6" i="7"/>
  <c r="S7" i="7" s="1"/>
  <c r="T9" i="8"/>
  <c r="S10" i="8" s="1"/>
  <c r="T7" i="5" l="1"/>
  <c r="S8" i="5" s="1"/>
  <c r="T7" i="7"/>
  <c r="S8" i="7" s="1"/>
  <c r="S11" i="8"/>
  <c r="T11" i="8" s="1"/>
  <c r="T10" i="8"/>
  <c r="T8" i="5" l="1"/>
  <c r="S9" i="5" s="1"/>
  <c r="T8" i="7"/>
  <c r="S9" i="7" s="1"/>
  <c r="T9" i="5" l="1"/>
  <c r="S10" i="5" s="1"/>
  <c r="T9" i="7"/>
  <c r="S10" i="7" s="1"/>
  <c r="T10" i="5" l="1"/>
  <c r="S11" i="5" s="1"/>
  <c r="T11" i="5" s="1"/>
  <c r="T10" i="7"/>
  <c r="S11" i="7" s="1"/>
  <c r="T11" i="7" s="1"/>
</calcChain>
</file>

<file path=xl/sharedStrings.xml><?xml version="1.0" encoding="utf-8"?>
<sst xmlns="http://schemas.openxmlformats.org/spreadsheetml/2006/main" count="101" uniqueCount="25">
  <si>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</si>
  <si>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</si>
  <si>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</si>
  <si>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</si>
  <si>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</si>
  <si>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</si>
  <si>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</si>
  <si>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</si>
  <si>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</si>
  <si>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</si>
  <si>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Sum of TOTAL SPECIMENS</t>
  </si>
  <si>
    <t>Grand Total</t>
  </si>
  <si>
    <t>WEEK</t>
  </si>
  <si>
    <t>TOTAL SPECIMENS</t>
  </si>
  <si>
    <t>PERCENT POSITIVE</t>
  </si>
  <si>
    <t>VaccinatedPct</t>
  </si>
  <si>
    <t>Month</t>
  </si>
  <si>
    <t>Row Labels</t>
  </si>
  <si>
    <t>MONTH</t>
  </si>
  <si>
    <t>Sum of TOTAL SPECIMENS2</t>
  </si>
  <si>
    <t>Average of PERCENT POSITIVE</t>
  </si>
  <si>
    <t>%</t>
  </si>
  <si>
    <t>Average of VaccinatedPct</t>
  </si>
  <si>
    <t>Sum of vaxprop</t>
  </si>
  <si>
    <t>Sum of posprop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</si>
</sst>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10" fontId="0" fillId="0" borderId="0" xfId="42" applyNumberFormat="1" applyFont="1"/>
    <xf numFmtId="10" fontId="0" fillId="0" borderId="0" xfId="0" applyNumberFormat="1"/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Calc!$G$1:$G$11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Calc!$I$1:$I$11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0.16</c:v>
                </c:pt>
                <c:pt idx="3">
                  <c:v>0.35</c:v>
                </c:pt>
                <c:pt idx="4">
                  <c:v>0.48</c:v>
                </c:pt>
                <c:pt idx="5">
                  <c:v>0.51</c:v>
                </c:pt>
                <c:pt idx="6">
                  <c:v>0.55000000000000004</c:v>
                </c:pt>
                <c:pt idx="7">
                  <c:v>0.56999999999999995</c:v>
                </c:pt>
                <c:pt idx="8">
                  <c:v>0.57799999999999996</c:v>
                </c:pt>
                <c:pt idx="9">
                  <c:v>0.58499999999999996</c:v>
                </c:pt>
                <c:pt idx="10">
                  <c:v>0.58899999999999997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95200"/>
        <c:axId val="142596736"/>
      </c:scatterChart>
      <c:valAx>
        <c:axId val="14259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596736"/>
        <c:crosses val="autoZero"/>
        <c:crossBetween val="midCat"/>
      </c:valAx>
      <c:valAx>
        <c:axId val="142596736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95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Calc!$B$2:$B$11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Calc!$C$2:$C$11</c:f>
              <c:numCache>
                <c:formatCode>General</c:formatCode>
                <c:ptCount val="10"/>
                <c:pt idx="0">
                  <c:v>0.05</c:v>
                </c:pt>
                <c:pt idx="1">
                  <c:v>0.16</c:v>
                </c:pt>
                <c:pt idx="2">
                  <c:v>0.35</c:v>
                </c:pt>
                <c:pt idx="3">
                  <c:v>0.48</c:v>
                </c:pt>
                <c:pt idx="4">
                  <c:v>0.51</c:v>
                </c:pt>
                <c:pt idx="5">
                  <c:v>0.55000000000000004</c:v>
                </c:pt>
                <c:pt idx="6">
                  <c:v>0.56999999999999995</c:v>
                </c:pt>
                <c:pt idx="7">
                  <c:v>0.57799999999999996</c:v>
                </c:pt>
                <c:pt idx="8">
                  <c:v>0.58499999999999996</c:v>
                </c:pt>
                <c:pt idx="9">
                  <c:v>0.58899999999999997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5200"/>
        <c:axId val="143076736"/>
      </c:scatterChart>
      <c:valAx>
        <c:axId val="14307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076736"/>
        <c:crosses val="autoZero"/>
        <c:crossBetween val="midCat"/>
      </c:valAx>
      <c:valAx>
        <c:axId val="143076736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075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casesbyweek!$Q$1:$Q$11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casesbyweek!$S$1:$S$11</c:f>
              <c:numCache>
                <c:formatCode>General</c:formatCode>
                <c:ptCount val="11"/>
                <c:pt idx="0">
                  <c:v>0</c:v>
                </c:pt>
                <c:pt idx="1">
                  <c:v>62836</c:v>
                </c:pt>
                <c:pt idx="2">
                  <c:v>69068</c:v>
                </c:pt>
                <c:pt idx="3">
                  <c:v>76101</c:v>
                </c:pt>
                <c:pt idx="4">
                  <c:v>132455</c:v>
                </c:pt>
                <c:pt idx="5">
                  <c:v>193522</c:v>
                </c:pt>
                <c:pt idx="6">
                  <c:v>249265</c:v>
                </c:pt>
                <c:pt idx="7">
                  <c:v>215793</c:v>
                </c:pt>
                <c:pt idx="8">
                  <c:v>197224</c:v>
                </c:pt>
                <c:pt idx="9">
                  <c:v>101664</c:v>
                </c:pt>
                <c:pt idx="10">
                  <c:v>73617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67264"/>
        <c:axId val="143468800"/>
      </c:scatterChart>
      <c:valAx>
        <c:axId val="14346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468800"/>
        <c:crosses val="autoZero"/>
        <c:crossBetween val="midCat"/>
      </c:valAx>
      <c:valAx>
        <c:axId val="143468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4672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casesbyweek!$L$1:$L$11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casesbyweek!$M$1:$M$11</c:f>
              <c:numCache>
                <c:formatCode>General</c:formatCode>
                <c:ptCount val="11"/>
                <c:pt idx="0">
                  <c:v>0</c:v>
                </c:pt>
                <c:pt idx="1">
                  <c:v>62836</c:v>
                </c:pt>
                <c:pt idx="2">
                  <c:v>69068</c:v>
                </c:pt>
                <c:pt idx="3">
                  <c:v>76101</c:v>
                </c:pt>
                <c:pt idx="4">
                  <c:v>132455</c:v>
                </c:pt>
                <c:pt idx="5">
                  <c:v>193522</c:v>
                </c:pt>
                <c:pt idx="6">
                  <c:v>249265</c:v>
                </c:pt>
                <c:pt idx="7">
                  <c:v>215793</c:v>
                </c:pt>
                <c:pt idx="8">
                  <c:v>197224</c:v>
                </c:pt>
                <c:pt idx="9">
                  <c:v>101664</c:v>
                </c:pt>
                <c:pt idx="10">
                  <c:v>73617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77760"/>
        <c:axId val="143495936"/>
      </c:scatterChart>
      <c:valAx>
        <c:axId val="14347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495936"/>
        <c:crosses val="autoZero"/>
        <c:crossBetween val="midCat"/>
      </c:valAx>
      <c:valAx>
        <c:axId val="143495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477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positives_byweek!$Q$1:$Q$11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positives_byweek!$S$1:$S$11</c:f>
              <c:numCache>
                <c:formatCode>General</c:formatCode>
                <c:ptCount val="11"/>
                <c:pt idx="0">
                  <c:v>0</c:v>
                </c:pt>
                <c:pt idx="1">
                  <c:v>2.7307891349199975</c:v>
                </c:pt>
                <c:pt idx="2">
                  <c:v>2.3761486946124952</c:v>
                </c:pt>
                <c:pt idx="3">
                  <c:v>3.6788249685624974</c:v>
                </c:pt>
                <c:pt idx="4">
                  <c:v>10.1286320521</c:v>
                </c:pt>
                <c:pt idx="5">
                  <c:v>21.616919663037475</c:v>
                </c:pt>
                <c:pt idx="6">
                  <c:v>20.138707515749999</c:v>
                </c:pt>
                <c:pt idx="7">
                  <c:v>18.145501844999977</c:v>
                </c:pt>
                <c:pt idx="8">
                  <c:v>15.12696205411998</c:v>
                </c:pt>
                <c:pt idx="9">
                  <c:v>9.2074246311499746</c:v>
                </c:pt>
                <c:pt idx="10">
                  <c:v>5.6166249611500003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32096"/>
        <c:axId val="143333632"/>
      </c:scatterChart>
      <c:valAx>
        <c:axId val="14333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333632"/>
        <c:crosses val="autoZero"/>
        <c:crossBetween val="midCat"/>
      </c:valAx>
      <c:valAx>
        <c:axId val="14333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332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positives_byweek!$L$1:$L$11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positives_byweek!$M$1:$M$11</c:f>
              <c:numCache>
                <c:formatCode>General</c:formatCode>
                <c:ptCount val="11"/>
                <c:pt idx="0">
                  <c:v>0</c:v>
                </c:pt>
                <c:pt idx="1">
                  <c:v>2.7307891349199975</c:v>
                </c:pt>
                <c:pt idx="2">
                  <c:v>2.3761486946124952</c:v>
                </c:pt>
                <c:pt idx="3">
                  <c:v>3.6788249685624974</c:v>
                </c:pt>
                <c:pt idx="4">
                  <c:v>10.1286320521</c:v>
                </c:pt>
                <c:pt idx="5">
                  <c:v>21.616919663037475</c:v>
                </c:pt>
                <c:pt idx="6">
                  <c:v>20.138707515749999</c:v>
                </c:pt>
                <c:pt idx="7">
                  <c:v>18.145501844999977</c:v>
                </c:pt>
                <c:pt idx="8">
                  <c:v>15.12696205411998</c:v>
                </c:pt>
                <c:pt idx="9">
                  <c:v>9.2074246311499746</c:v>
                </c:pt>
                <c:pt idx="10">
                  <c:v>5.6166249611500003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60000"/>
        <c:axId val="143361536"/>
      </c:scatterChart>
      <c:valAx>
        <c:axId val="14336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361536"/>
        <c:crosses val="autoZero"/>
        <c:crossBetween val="midCat"/>
      </c:valAx>
      <c:valAx>
        <c:axId val="143361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360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'kid_avg_vax_rates_2010-2014'!$Q$1:$Q$11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'kid_avg_vax_rates_2010-2014'!$S$1:$S$11</c:f>
              <c:numCache>
                <c:formatCode>General</c:formatCode>
                <c:ptCount val="11"/>
                <c:pt idx="0">
                  <c:v>0</c:v>
                </c:pt>
                <c:pt idx="1">
                  <c:v>5.0750000000000003E-2</c:v>
                </c:pt>
                <c:pt idx="2">
                  <c:v>0.14349999999999999</c:v>
                </c:pt>
                <c:pt idx="3">
                  <c:v>0.32250000000000001</c:v>
                </c:pt>
                <c:pt idx="4">
                  <c:v>0.43474999999999903</c:v>
                </c:pt>
                <c:pt idx="5">
                  <c:v>0.47949999999999904</c:v>
                </c:pt>
                <c:pt idx="6">
                  <c:v>0.51174999999999993</c:v>
                </c:pt>
                <c:pt idx="7">
                  <c:v>0.52700000000000002</c:v>
                </c:pt>
                <c:pt idx="8">
                  <c:v>0.53700000000000003</c:v>
                </c:pt>
                <c:pt idx="9">
                  <c:v>0.54225000000000001</c:v>
                </c:pt>
                <c:pt idx="10">
                  <c:v>0.54500000000000004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7296"/>
        <c:axId val="143608832"/>
      </c:scatterChart>
      <c:valAx>
        <c:axId val="14360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608832"/>
        <c:crosses val="autoZero"/>
        <c:crossBetween val="midCat"/>
      </c:valAx>
      <c:valAx>
        <c:axId val="14360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607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'kid_avg_vax_rates_2010-2014'!$L$1:$L$11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'kid_avg_vax_rates_2010-2014'!$M$1:$M$11</c:f>
              <c:numCache>
                <c:formatCode>General</c:formatCode>
                <c:ptCount val="11"/>
                <c:pt idx="0">
                  <c:v>0</c:v>
                </c:pt>
                <c:pt idx="1">
                  <c:v>5.0750000000000003E-2</c:v>
                </c:pt>
                <c:pt idx="2">
                  <c:v>0.14349999999999999</c:v>
                </c:pt>
                <c:pt idx="3">
                  <c:v>0.32250000000000001</c:v>
                </c:pt>
                <c:pt idx="4">
                  <c:v>0.43474999999999903</c:v>
                </c:pt>
                <c:pt idx="5">
                  <c:v>0.47949999999999904</c:v>
                </c:pt>
                <c:pt idx="6">
                  <c:v>0.51174999999999993</c:v>
                </c:pt>
                <c:pt idx="7">
                  <c:v>0.52700000000000002</c:v>
                </c:pt>
                <c:pt idx="8">
                  <c:v>0.53700000000000003</c:v>
                </c:pt>
                <c:pt idx="9">
                  <c:v>0.54225000000000001</c:v>
                </c:pt>
                <c:pt idx="10">
                  <c:v>0.54500000000000004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20352"/>
        <c:axId val="143626240"/>
      </c:scatterChart>
      <c:valAx>
        <c:axId val="14362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626240"/>
        <c:crosses val="autoZero"/>
        <c:crossBetween val="midCat"/>
      </c:valAx>
      <c:valAx>
        <c:axId val="14362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620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61914</xdr:colOff>
      <xdr:row>18</xdr:row>
      <xdr:rowOff>0</xdr:rowOff>
    </xdr:from>
    <xdr:to>
      <xdr:col>19</xdr:col>
      <xdr:colOff>309564</xdr:colOff>
      <xdr:row>32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38100</xdr:rowOff>
    </xdr:from>
    <xdr:to>
      <xdr:col>14</xdr:col>
      <xdr:colOff>300038</xdr:colOff>
      <xdr:row>32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242889</xdr:colOff>
      <xdr:row>15</xdr:row>
      <xdr:rowOff>123825</xdr:rowOff>
    </xdr:from>
    <xdr:to>
      <xdr:col>19</xdr:col>
      <xdr:colOff>490539</xdr:colOff>
      <xdr:row>30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15</xdr:row>
      <xdr:rowOff>161925</xdr:rowOff>
    </xdr:from>
    <xdr:to>
      <xdr:col>14</xdr:col>
      <xdr:colOff>481013</xdr:colOff>
      <xdr:row>30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338139</xdr:colOff>
      <xdr:row>14</xdr:row>
      <xdr:rowOff>171450</xdr:rowOff>
    </xdr:from>
    <xdr:to>
      <xdr:col>19</xdr:col>
      <xdr:colOff>585789</xdr:colOff>
      <xdr:row>29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276225</xdr:colOff>
      <xdr:row>15</xdr:row>
      <xdr:rowOff>19050</xdr:rowOff>
    </xdr:from>
    <xdr:to>
      <xdr:col>14</xdr:col>
      <xdr:colOff>576263</xdr:colOff>
      <xdr:row>29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nathan Raviotta" refreshedDate="41927.361900925927" createdVersion="4" refreshedVersion="4" minRefreshableVersion="3" recordCount="52">
  <cacheSource type="worksheet">
    <worksheetSource ref="A1:C53" sheet="casesbyweek"/>
  </cacheSource>
  <cacheFields count="3">
    <cacheField name="WEEK" numFmtId="0">
      <sharedItems containsSemiMixedTypes="0" containsString="0" containsNumber="1" containsInteger="1" minValue="1" maxValue="52"/>
    </cacheField>
    <cacheField name="TOTAL SPECIMENS" numFmtId="0">
      <sharedItems containsSemiMixedTypes="0" containsString="0" containsNumber="1" containsInteger="1" minValue="10462" maxValue="64667"/>
    </cacheField>
    <cacheField name="MONTH" numFmtId="0">
      <sharedItems containsSemiMixedTypes="0" containsString="0" containsNumber="1" containsInteger="1" minValue="1" maxValue="12" count="12">
        <n v="12"/>
        <n v="1"/>
        <n v="2"/>
        <n v="3"/>
        <n v="4"/>
        <n v="5"/>
        <n v="6"/>
        <n v="7"/>
        <n v="8"/>
        <n v="9"/>
        <n v="10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nathan Raviotta" refreshedDate="41927.374313194443" createdVersion="4" refreshedVersion="4" minRefreshableVersion="3" recordCount="52">
  <cacheSource type="worksheet">
    <worksheetSource name="Table2"/>
  </cacheSource>
  <cacheFields count="5">
    <cacheField name="WEEK" numFmtId="0">
      <sharedItems containsSemiMixedTypes="0" containsString="0" containsNumber="1" containsInteger="1" minValue="1" maxValue="52"/>
    </cacheField>
    <cacheField name="PERCENT POSITIVE" numFmtId="0">
      <sharedItems containsSemiMixedTypes="0" containsString="0" containsNumber="1" minValue="2.0466037243999899" maxValue="24.657431829499998"/>
    </cacheField>
    <cacheField name="MONTH" numFmtId="0">
      <sharedItems containsSemiMixedTypes="0" containsString="0" containsNumber="1" containsInteger="1" minValue="1" maxValue="12" count="12">
        <n v="12"/>
        <n v="1"/>
        <n v="2"/>
        <n v="3"/>
        <n v="4"/>
        <n v="5"/>
        <n v="6"/>
        <n v="7"/>
        <n v="8"/>
        <n v="9"/>
        <n v="10"/>
        <n v="11"/>
      </sharedItems>
    </cacheField>
    <cacheField name="%" numFmtId="10">
      <sharedItems containsSemiMixedTypes="0" containsString="0" containsNumber="1" minValue="2.04660372439999E-2" maxValue="0.24657431829499998"/>
    </cacheField>
    <cacheField name="posprop" numFmtId="0" formula="'PERCENT POSITIVE' /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nathan Raviotta" refreshedDate="41927.378615277776" createdVersion="4" refreshedVersion="4" minRefreshableVersion="3" recordCount="11">
  <cacheSource type="worksheet">
    <worksheetSource ref="A1:B12" sheet="kid_avg_vax_rates_2010-2014"/>
  </cacheSource>
  <cacheFields count="3">
    <cacheField name="Month" numFmtId="0">
      <sharedItems containsSemiMixedTypes="0" containsString="0" containsNumber="1" containsInteger="1" minValue="1" maxValue="12" count="11">
        <n v="1"/>
        <n v="2"/>
        <n v="3"/>
        <n v="4"/>
        <n v="5"/>
        <n v="7"/>
        <n v="8"/>
        <n v="9"/>
        <n v="10"/>
        <n v="11"/>
        <n v="12"/>
      </sharedItems>
    </cacheField>
    <cacheField name="VaccinatedPct" numFmtId="0">
      <sharedItems containsSemiMixedTypes="0" containsString="0" containsNumber="1" minValue="1.55" maxValue="54.5"/>
    </cacheField>
    <cacheField name="vaxprop" numFmtId="0" formula="VaccinatedPct/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n v="1"/>
    <n v="62944"/>
    <x v="0"/>
  </r>
  <r>
    <n v="2"/>
    <n v="64667"/>
    <x v="1"/>
  </r>
  <r>
    <n v="3"/>
    <n v="63227"/>
    <x v="1"/>
  </r>
  <r>
    <n v="4"/>
    <n v="62224"/>
    <x v="1"/>
  </r>
  <r>
    <n v="5"/>
    <n v="59147"/>
    <x v="1"/>
  </r>
  <r>
    <n v="6"/>
    <n v="56586"/>
    <x v="2"/>
  </r>
  <r>
    <n v="7"/>
    <n v="56397"/>
    <x v="2"/>
  </r>
  <r>
    <n v="8"/>
    <n v="53129"/>
    <x v="2"/>
  </r>
  <r>
    <n v="9"/>
    <n v="49681"/>
    <x v="2"/>
  </r>
  <r>
    <n v="10"/>
    <n v="47157"/>
    <x v="3"/>
  </r>
  <r>
    <n v="11"/>
    <n v="43600"/>
    <x v="3"/>
  </r>
  <r>
    <n v="12"/>
    <n v="38890"/>
    <x v="3"/>
  </r>
  <r>
    <n v="13"/>
    <n v="35399"/>
    <x v="3"/>
  </r>
  <r>
    <n v="14"/>
    <n v="32178"/>
    <x v="3"/>
  </r>
  <r>
    <n v="15"/>
    <n v="29369"/>
    <x v="4"/>
  </r>
  <r>
    <n v="16"/>
    <n v="26266"/>
    <x v="4"/>
  </r>
  <r>
    <n v="17"/>
    <n v="24013"/>
    <x v="4"/>
  </r>
  <r>
    <n v="18"/>
    <n v="22016"/>
    <x v="4"/>
  </r>
  <r>
    <n v="19"/>
    <n v="20118"/>
    <x v="5"/>
  </r>
  <r>
    <n v="20"/>
    <n v="19199"/>
    <x v="5"/>
  </r>
  <r>
    <n v="21"/>
    <n v="18040"/>
    <x v="5"/>
  </r>
  <r>
    <n v="22"/>
    <n v="16260"/>
    <x v="5"/>
  </r>
  <r>
    <n v="23"/>
    <n v="15344"/>
    <x v="6"/>
  </r>
  <r>
    <n v="24"/>
    <n v="14411"/>
    <x v="6"/>
  </r>
  <r>
    <n v="25"/>
    <n v="13571"/>
    <x v="6"/>
  </r>
  <r>
    <n v="26"/>
    <n v="12061"/>
    <x v="6"/>
  </r>
  <r>
    <n v="27"/>
    <n v="10810"/>
    <x v="6"/>
  </r>
  <r>
    <n v="28"/>
    <n v="10869"/>
    <x v="7"/>
  </r>
  <r>
    <n v="29"/>
    <n v="10872"/>
    <x v="7"/>
  </r>
  <r>
    <n v="30"/>
    <n v="10462"/>
    <x v="7"/>
  </r>
  <r>
    <n v="31"/>
    <n v="10576"/>
    <x v="7"/>
  </r>
  <r>
    <n v="32"/>
    <n v="10837"/>
    <x v="8"/>
  </r>
  <r>
    <n v="33"/>
    <n v="11348"/>
    <x v="8"/>
  </r>
  <r>
    <n v="34"/>
    <n v="12246"/>
    <x v="8"/>
  </r>
  <r>
    <n v="35"/>
    <n v="13804"/>
    <x v="8"/>
  </r>
  <r>
    <n v="36"/>
    <n v="14601"/>
    <x v="8"/>
  </r>
  <r>
    <n v="37"/>
    <n v="16948"/>
    <x v="9"/>
  </r>
  <r>
    <n v="38"/>
    <n v="17999"/>
    <x v="9"/>
  </r>
  <r>
    <n v="39"/>
    <n v="17935"/>
    <x v="9"/>
  </r>
  <r>
    <n v="40"/>
    <n v="16186"/>
    <x v="9"/>
  </r>
  <r>
    <n v="41"/>
    <n v="18006"/>
    <x v="10"/>
  </r>
  <r>
    <n v="42"/>
    <n v="18572"/>
    <x v="10"/>
  </r>
  <r>
    <n v="43"/>
    <n v="19154"/>
    <x v="10"/>
  </r>
  <r>
    <n v="44"/>
    <n v="20369"/>
    <x v="10"/>
  </r>
  <r>
    <n v="45"/>
    <n v="23025"/>
    <x v="11"/>
  </r>
  <r>
    <n v="46"/>
    <n v="24038"/>
    <x v="11"/>
  </r>
  <r>
    <n v="47"/>
    <n v="24875"/>
    <x v="11"/>
  </r>
  <r>
    <n v="48"/>
    <n v="27272"/>
    <x v="11"/>
  </r>
  <r>
    <n v="49"/>
    <n v="33245"/>
    <x v="11"/>
  </r>
  <r>
    <n v="50"/>
    <n v="38098"/>
    <x v="0"/>
  </r>
  <r>
    <n v="51"/>
    <n v="44164"/>
    <x v="0"/>
  </r>
  <r>
    <n v="52"/>
    <n v="4831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2">
  <r>
    <n v="1"/>
    <n v="19.398928312399999"/>
    <x v="0"/>
    <n v="0.19398928312399999"/>
  </r>
  <r>
    <n v="2"/>
    <n v="20.090553695000001"/>
    <x v="1"/>
    <n v="0.20090553695000002"/>
  </r>
  <r>
    <n v="3"/>
    <n v="20.498286565400001"/>
    <x v="1"/>
    <n v="0.20498286565400001"/>
  </r>
  <r>
    <n v="4"/>
    <n v="20.2877895114"/>
    <x v="1"/>
    <n v="0.20287789511400001"/>
  </r>
  <r>
    <n v="5"/>
    <n v="19.6782002912"/>
    <x v="1"/>
    <n v="0.19678200291199999"/>
  </r>
  <r>
    <n v="6"/>
    <n v="18.7348638958"/>
    <x v="2"/>
    <n v="0.187348638958"/>
  </r>
  <r>
    <n v="7"/>
    <n v="18.410438882599902"/>
    <x v="2"/>
    <n v="0.18410438882599903"/>
  </r>
  <r>
    <n v="8"/>
    <n v="17.822259822199999"/>
    <x v="2"/>
    <n v="0.17822259822199998"/>
  </r>
  <r>
    <n v="9"/>
    <n v="17.614444779399999"/>
    <x v="2"/>
    <n v="0.17614444779399999"/>
  </r>
  <r>
    <n v="10"/>
    <n v="17.467208343599999"/>
    <x v="3"/>
    <n v="0.17467208343599999"/>
  </r>
  <r>
    <n v="11"/>
    <n v="16.9380277482"/>
    <x v="3"/>
    <n v="0.16938027748199999"/>
  </r>
  <r>
    <n v="12"/>
    <n v="15.3097620082"/>
    <x v="3"/>
    <n v="0.15309762008200001"/>
  </r>
  <r>
    <n v="13"/>
    <n v="13.304026825799999"/>
    <x v="3"/>
    <n v="0.133040268258"/>
  </r>
  <r>
    <n v="14"/>
    <n v="12.6157853447999"/>
    <x v="3"/>
    <n v="0.12615785344799899"/>
  </r>
  <r>
    <n v="15"/>
    <n v="11.082567232399899"/>
    <x v="4"/>
    <n v="0.11082567232399899"/>
  </r>
  <r>
    <n v="16"/>
    <n v="9.7557150830000001"/>
    <x v="4"/>
    <n v="9.7557150829999995E-2"/>
  </r>
  <r>
    <n v="17"/>
    <n v="8.395745196"/>
    <x v="4"/>
    <n v="8.3957451959999999E-2"/>
  </r>
  <r>
    <n v="18"/>
    <n v="7.5956710131999996"/>
    <x v="4"/>
    <n v="7.5956710131999991E-2"/>
  </r>
  <r>
    <n v="19"/>
    <n v="6.655186015"/>
    <x v="5"/>
    <n v="6.6551860150000003E-2"/>
  </r>
  <r>
    <n v="20"/>
    <n v="5.9005777410000002"/>
    <x v="5"/>
    <n v="5.9005777410000002E-2"/>
  </r>
  <r>
    <n v="21"/>
    <n v="4.9432964897999998"/>
    <x v="5"/>
    <n v="4.9432964897999997E-2"/>
  </r>
  <r>
    <n v="22"/>
    <n v="4.9674395988000004"/>
    <x v="5"/>
    <n v="4.9674395988000004E-2"/>
  </r>
  <r>
    <n v="23"/>
    <n v="4.2434630141999996"/>
    <x v="6"/>
    <n v="4.2434630141999996E-2"/>
  </r>
  <r>
    <n v="24"/>
    <n v="4.3833150294000003"/>
    <x v="6"/>
    <n v="4.3833150294000006E-2"/>
  </r>
  <r>
    <n v="25"/>
    <n v="3.46422077459999"/>
    <x v="6"/>
    <n v="3.4642207745999902E-2"/>
  </r>
  <r>
    <n v="26"/>
    <n v="3.1057011102000001"/>
    <x v="6"/>
    <n v="3.1057011102000001E-2"/>
  </r>
  <r>
    <n v="27"/>
    <n v="2.7340113283999998"/>
    <x v="6"/>
    <n v="2.7340113284E-2"/>
  </r>
  <r>
    <n v="28"/>
    <n v="2.9245312966000001"/>
    <x v="7"/>
    <n v="2.9245312966000001E-2"/>
  </r>
  <r>
    <n v="29"/>
    <n v="2.3163606635999998"/>
    <x v="7"/>
    <n v="2.3163606635999999E-2"/>
  </r>
  <r>
    <n v="30"/>
    <n v="2.7002771447999998"/>
    <x v="7"/>
    <n v="2.7002771447999997E-2"/>
  </r>
  <r>
    <n v="31"/>
    <n v="3.69354981379999"/>
    <x v="7"/>
    <n v="3.69354981379999E-2"/>
  </r>
  <r>
    <n v="32"/>
    <n v="3.2531200095999999"/>
    <x v="8"/>
    <n v="3.2531200095999996E-2"/>
  </r>
  <r>
    <n v="33"/>
    <n v="3.0136596431999898"/>
    <x v="8"/>
    <n v="3.0136596431999899E-2"/>
  </r>
  <r>
    <n v="34"/>
    <n v="2.5570851142"/>
    <x v="8"/>
    <n v="2.5570851142000001E-2"/>
  </r>
  <r>
    <n v="35"/>
    <n v="2.5186090254"/>
    <x v="8"/>
    <n v="2.5186090253999999E-2"/>
  </r>
  <r>
    <n v="36"/>
    <n v="2.3114718822000002"/>
    <x v="8"/>
    <n v="2.3114718822000002E-2"/>
  </r>
  <r>
    <n v="37"/>
    <n v="2.0466037243999899"/>
    <x v="9"/>
    <n v="2.04660372439999E-2"/>
  </r>
  <r>
    <n v="38"/>
    <n v="2.1726587058"/>
    <x v="9"/>
    <n v="2.1726587057999999E-2"/>
  </r>
  <r>
    <n v="39"/>
    <n v="2.5512391760000002"/>
    <x v="9"/>
    <n v="2.5512391760000003E-2"/>
  </r>
  <r>
    <n v="40"/>
    <n v="2.7340931722499899"/>
    <x v="9"/>
    <n v="2.7340931722499899E-2"/>
  </r>
  <r>
    <n v="41"/>
    <n v="2.91613619224999"/>
    <x v="10"/>
    <n v="2.91613619224999E-2"/>
  </r>
  <r>
    <n v="42"/>
    <n v="3.301468002"/>
    <x v="10"/>
    <n v="3.3014680019999999E-2"/>
  </r>
  <r>
    <n v="43"/>
    <n v="3.7865610332499999"/>
    <x v="10"/>
    <n v="3.7865610332500001E-2"/>
  </r>
  <r>
    <n v="44"/>
    <n v="4.7111346467499997"/>
    <x v="10"/>
    <n v="4.7111346467499995E-2"/>
  </r>
  <r>
    <n v="45"/>
    <n v="5.8043042680000001"/>
    <x v="11"/>
    <n v="5.8043042680000004E-2"/>
  </r>
  <r>
    <n v="46"/>
    <n v="7.5720452414999997"/>
    <x v="11"/>
    <n v="7.5720452415E-2"/>
  </r>
  <r>
    <n v="47"/>
    <n v="10.001329446"/>
    <x v="11"/>
    <n v="0.10001329446"/>
  </r>
  <r>
    <n v="48"/>
    <n v="11.50521027475"/>
    <x v="11"/>
    <n v="0.11505210274750001"/>
  </r>
  <r>
    <n v="49"/>
    <n v="15.760271030249999"/>
    <x v="11"/>
    <n v="0.1576027103025"/>
  </r>
  <r>
    <n v="50"/>
    <n v="18.749185131000001"/>
    <x v="0"/>
    <n v="0.18749185131000001"/>
  </r>
  <r>
    <n v="51"/>
    <n v="23.662133379249902"/>
    <x v="0"/>
    <n v="0.23662133379249903"/>
  </r>
  <r>
    <n v="52"/>
    <n v="24.657431829499998"/>
    <x v="0"/>
    <n v="0.246574318294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">
  <r>
    <x v="0"/>
    <n v="51.174999999999997"/>
  </r>
  <r>
    <x v="1"/>
    <n v="52.7"/>
  </r>
  <r>
    <x v="2"/>
    <n v="53.7"/>
  </r>
  <r>
    <x v="3"/>
    <n v="54.225000000000001"/>
  </r>
  <r>
    <x v="4"/>
    <n v="54.5"/>
  </r>
  <r>
    <x v="5"/>
    <n v="1.55"/>
  </r>
  <r>
    <x v="6"/>
    <n v="5.0750000000000002"/>
  </r>
  <r>
    <x v="7"/>
    <n v="14.35"/>
  </r>
  <r>
    <x v="8"/>
    <n v="32.25"/>
  </r>
  <r>
    <x v="9"/>
    <n v="43.474999999999902"/>
  </r>
  <r>
    <x v="10"/>
    <n v="47.9499999999999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F1:H12" firstHeaderRow="0" firstDataRow="1" firstDataCol="1"/>
  <pivotFields count="3">
    <pivotField showAll="0"/>
    <pivotField dataField="1" showAll="0"/>
    <pivotField axis="axisRow" showAll="0" defaultSubtotal="0">
      <items count="12">
        <item x="8"/>
        <item x="9"/>
        <item x="10"/>
        <item x="11"/>
        <item x="0"/>
        <item x="1"/>
        <item x="2"/>
        <item x="3"/>
        <item x="4"/>
        <item x="5"/>
        <item h="1" x="6"/>
        <item h="1" x="7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CIMENS2" fld="1" baseField="0" baseItem="0"/>
    <dataField name="Sum of TOTAL SPECIMENS" fld="1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F2:H13" firstHeaderRow="0" firstDataRow="1" firstDataCol="1"/>
  <pivotFields count="5">
    <pivotField showAll="0"/>
    <pivotField dataField="1" showAll="0"/>
    <pivotField axis="axisRow" showAll="0">
      <items count="13">
        <item x="8"/>
        <item x="9"/>
        <item x="10"/>
        <item x="11"/>
        <item x="0"/>
        <item x="1"/>
        <item x="2"/>
        <item x="3"/>
        <item x="4"/>
        <item x="5"/>
        <item h="1" x="6"/>
        <item h="1" x="7"/>
        <item t="default"/>
      </items>
    </pivotField>
    <pivotField numFmtId="10" showAll="0" defaultSubtotal="0"/>
    <pivotField dataField="1"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CENT POSITIVE" fld="1" subtotal="average" baseField="2" baseItem="0"/>
    <dataField name="Sum of posprop" fld="4" baseField="0" baseItem="0"/>
  </dataFields>
  <formats count="1">
    <format dxfId="3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1:G12" firstHeaderRow="0" firstDataRow="1" firstDataCol="1"/>
  <pivotFields count="3">
    <pivotField axis="axisRow" showAll="0">
      <items count="12">
        <item x="6"/>
        <item x="7"/>
        <item x="8"/>
        <item x="9"/>
        <item x="10"/>
        <item x="0"/>
        <item x="1"/>
        <item x="2"/>
        <item x="3"/>
        <item x="4"/>
        <item h="1" x="5"/>
        <item t="default"/>
      </items>
    </pivotField>
    <pivotField dataField="1" showAll="0"/>
    <pivotField dataField="1"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VaccinatedPct" fld="1" subtotal="average" baseField="0" baseItem="0"/>
    <dataField name="Sum of vaxprop" fld="2" baseField="0" baseItem="0"/>
  </dataFields>
  <formats count="1">
    <format dxfId="0">
      <pivotArea collapsedLevelsAreSubtotals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53" totalsRowShown="0">
  <autoFilter ref="A1:C53"/>
  <tableColumns count="3">
    <tableColumn id="1" name="WEEK"/>
    <tableColumn id="2" name="TOTAL SPECIMENS"/>
    <tableColumn id="3" name="MONTH" dataDxfId="4">
      <calculatedColumnFormula>MONTH("1/1"+(1-WEEKDAY("1/1"))+(Table1[[#This Row],[WEEK]]-1)*7)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53" totalsRowShown="0">
  <autoFilter ref="A1:D53"/>
  <tableColumns count="4">
    <tableColumn id="1" name="WEEK"/>
    <tableColumn id="2" name="PERCENT POSITIVE"/>
    <tableColumn id="3" name="MONTH" dataDxfId="2">
      <calculatedColumnFormula>MONTH("1/1"+(1-WEEKDAY("1/1"))+(Table2[[#This Row],[WEEK]]-1)*7)</calculatedColumnFormula>
    </tableColumn>
    <tableColumn id="4" name="%" dataDxfId="1">
      <calculatedColumnFormula>Table2[[#This Row],[PERCENT POSITIVE]]/100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B12" totalsRowShown="0">
  <autoFilter ref="A1:B12"/>
  <tableColumns count="2">
    <tableColumn id="1" name="Month"/>
    <tableColumn id="2" name="VaccinatedP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F36" sqref="F36"/>
    </sheetView>
  </sheetViews>
  <sheetFormatPr defaultRowHeight="15" x14ac:dyDescent="0.25"/>
  <sheetData>
    <row r="1" spans="1:10" x14ac:dyDescent="0.25">
      <c r="B1">
        <v>0</v>
      </c>
      <c r="C1">
        <v>0</v>
      </c>
      <c r="G1">
        <v>0</v>
      </c>
      <c r="H1">
        <v>0</v>
      </c>
      <c r="I1" s="1">
        <v>0</v>
      </c>
      <c r="J1" s="1">
        <v>1</v>
      </c>
    </row>
    <row r="2" spans="1:10" x14ac:dyDescent="0.25">
      <c r="A2" t="s">
        <v>0</v>
      </c>
      <c r="B2">
        <v>1</v>
      </c>
      <c r="C2" s="3">
        <v>0.05</v>
      </c>
      <c r="F2" t="s">
        <v>0</v>
      </c>
      <c r="G2">
        <v>1</v>
      </c>
      <c r="H2">
        <f t="shared" ref="H2:H11" si="0">(C2-C1)/(1-C1)</f>
        <v>0.05</v>
      </c>
      <c r="I2" s="1">
        <f>H2*J1+I1</f>
        <v>0.05</v>
      </c>
      <c r="J2" s="1">
        <f t="shared" ref="J2:J8" si="1">$J$1-I2</f>
        <v>0.95</v>
      </c>
    </row>
    <row r="3" spans="1:10" x14ac:dyDescent="0.25">
      <c r="A3" t="s">
        <v>1</v>
      </c>
      <c r="B3">
        <v>2</v>
      </c>
      <c r="C3" s="3">
        <v>0.16</v>
      </c>
      <c r="D3" s="3"/>
      <c r="F3" t="s">
        <v>1</v>
      </c>
      <c r="G3">
        <v>2</v>
      </c>
      <c r="H3">
        <f t="shared" si="0"/>
        <v>0.11578947368421053</v>
      </c>
      <c r="I3" s="1">
        <f t="shared" ref="I3:I11" si="2">H3*J2+I2</f>
        <v>0.16</v>
      </c>
      <c r="J3" s="1">
        <f t="shared" si="1"/>
        <v>0.84</v>
      </c>
    </row>
    <row r="4" spans="1:10" x14ac:dyDescent="0.25">
      <c r="A4" t="s">
        <v>2</v>
      </c>
      <c r="B4">
        <v>3</v>
      </c>
      <c r="C4" s="3">
        <v>0.35</v>
      </c>
      <c r="D4" s="3"/>
      <c r="F4" t="s">
        <v>2</v>
      </c>
      <c r="G4">
        <v>3</v>
      </c>
      <c r="H4">
        <f t="shared" si="0"/>
        <v>0.22619047619047616</v>
      </c>
      <c r="I4" s="1">
        <f t="shared" si="2"/>
        <v>0.35</v>
      </c>
      <c r="J4" s="1">
        <f t="shared" si="1"/>
        <v>0.65</v>
      </c>
    </row>
    <row r="5" spans="1:10" x14ac:dyDescent="0.25">
      <c r="A5" t="s">
        <v>3</v>
      </c>
      <c r="B5">
        <v>4</v>
      </c>
      <c r="C5" s="3">
        <v>0.48</v>
      </c>
      <c r="D5" s="3"/>
      <c r="F5" t="s">
        <v>3</v>
      </c>
      <c r="G5">
        <v>4</v>
      </c>
      <c r="H5">
        <f t="shared" si="0"/>
        <v>0.2</v>
      </c>
      <c r="I5" s="1">
        <f t="shared" si="2"/>
        <v>0.48</v>
      </c>
      <c r="J5" s="1">
        <f t="shared" si="1"/>
        <v>0.52</v>
      </c>
    </row>
    <row r="6" spans="1:10" x14ac:dyDescent="0.25">
      <c r="A6" t="s">
        <v>4</v>
      </c>
      <c r="B6">
        <v>5</v>
      </c>
      <c r="C6" s="3">
        <v>0.51</v>
      </c>
      <c r="D6" s="3"/>
      <c r="F6" t="s">
        <v>4</v>
      </c>
      <c r="G6">
        <v>5</v>
      </c>
      <c r="H6">
        <f t="shared" si="0"/>
        <v>5.7692307692307744E-2</v>
      </c>
      <c r="I6" s="1">
        <f t="shared" si="2"/>
        <v>0.51</v>
      </c>
      <c r="J6" s="1">
        <f t="shared" si="1"/>
        <v>0.49</v>
      </c>
    </row>
    <row r="7" spans="1:10" x14ac:dyDescent="0.25">
      <c r="A7" t="s">
        <v>5</v>
      </c>
      <c r="B7">
        <v>6</v>
      </c>
      <c r="C7" s="3">
        <v>0.55000000000000004</v>
      </c>
      <c r="D7" s="3"/>
      <c r="F7" t="s">
        <v>5</v>
      </c>
      <c r="G7">
        <v>6</v>
      </c>
      <c r="H7">
        <f t="shared" si="0"/>
        <v>8.1632653061224567E-2</v>
      </c>
      <c r="I7" s="1">
        <f t="shared" si="2"/>
        <v>0.55000000000000004</v>
      </c>
      <c r="J7" s="1">
        <f t="shared" si="1"/>
        <v>0.44999999999999996</v>
      </c>
    </row>
    <row r="8" spans="1:10" x14ac:dyDescent="0.25">
      <c r="A8" t="s">
        <v>6</v>
      </c>
      <c r="B8">
        <v>7</v>
      </c>
      <c r="C8" s="3">
        <v>0.56999999999999995</v>
      </c>
      <c r="D8" s="3"/>
      <c r="F8" t="s">
        <v>6</v>
      </c>
      <c r="G8">
        <v>7</v>
      </c>
      <c r="H8">
        <f t="shared" si="0"/>
        <v>4.4444444444444245E-2</v>
      </c>
      <c r="I8" s="1">
        <f t="shared" si="2"/>
        <v>0.56999999999999995</v>
      </c>
      <c r="J8" s="1">
        <f t="shared" si="1"/>
        <v>0.43000000000000005</v>
      </c>
    </row>
    <row r="9" spans="1:10" x14ac:dyDescent="0.25">
      <c r="A9" t="s">
        <v>7</v>
      </c>
      <c r="B9">
        <v>8</v>
      </c>
      <c r="C9" s="3">
        <v>0.57799999999999996</v>
      </c>
      <c r="D9" s="3"/>
      <c r="F9" t="s">
        <v>7</v>
      </c>
      <c r="G9">
        <v>8</v>
      </c>
      <c r="H9">
        <f t="shared" si="0"/>
        <v>1.8604651162790711E-2</v>
      </c>
      <c r="I9" s="1">
        <f t="shared" si="2"/>
        <v>0.57799999999999996</v>
      </c>
      <c r="J9" s="1">
        <f t="shared" ref="J9:J11" si="3">$J$1-I9</f>
        <v>0.42200000000000004</v>
      </c>
    </row>
    <row r="10" spans="1:10" x14ac:dyDescent="0.25">
      <c r="A10" t="s">
        <v>8</v>
      </c>
      <c r="B10">
        <v>9</v>
      </c>
      <c r="C10" s="3">
        <v>0.58499999999999996</v>
      </c>
      <c r="D10" s="3"/>
      <c r="F10" t="s">
        <v>8</v>
      </c>
      <c r="G10">
        <v>9</v>
      </c>
      <c r="H10">
        <f t="shared" si="0"/>
        <v>1.6587677725118495E-2</v>
      </c>
      <c r="I10" s="1">
        <f t="shared" si="2"/>
        <v>0.58499999999999996</v>
      </c>
      <c r="J10" s="1">
        <f t="shared" si="3"/>
        <v>0.41500000000000004</v>
      </c>
    </row>
    <row r="11" spans="1:10" x14ac:dyDescent="0.25">
      <c r="A11" t="s">
        <v>9</v>
      </c>
      <c r="B11">
        <v>10</v>
      </c>
      <c r="C11" s="3">
        <v>0.58899999999999997</v>
      </c>
      <c r="D11" s="3"/>
      <c r="F11" t="s">
        <v>9</v>
      </c>
      <c r="G11">
        <v>10</v>
      </c>
      <c r="H11">
        <f t="shared" si="0"/>
        <v>9.6385542168674777E-3</v>
      </c>
      <c r="I11" s="1">
        <f t="shared" si="2"/>
        <v>0.58899999999999997</v>
      </c>
      <c r="J11" s="1">
        <f t="shared" si="3"/>
        <v>0.41100000000000003</v>
      </c>
    </row>
    <row r="12" spans="1:10" x14ac:dyDescent="0.25">
      <c r="C12" s="2"/>
    </row>
    <row r="13" spans="1:10" x14ac:dyDescent="0.25">
      <c r="C13" s="2"/>
    </row>
    <row r="14" spans="1:10" x14ac:dyDescent="0.25">
      <c r="C14" s="2"/>
    </row>
    <row r="15" spans="1:10" x14ac:dyDescent="0.25">
      <c r="C1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tabSelected="1" topLeftCell="E1" workbookViewId="0">
      <selection activeCell="Q14" sqref="Q14"/>
    </sheetView>
  </sheetViews>
  <sheetFormatPr defaultRowHeight="15" x14ac:dyDescent="0.25"/>
  <cols>
    <col min="2" max="2" width="19.140625" customWidth="1"/>
    <col min="4" max="5" width="9.140625" style="3"/>
    <col min="6" max="6" width="13.140625" bestFit="1" customWidth="1"/>
    <col min="7" max="7" width="25.140625" customWidth="1"/>
    <col min="8" max="8" width="24.140625" customWidth="1"/>
  </cols>
  <sheetData>
    <row r="1" spans="1:20" x14ac:dyDescent="0.25">
      <c r="A1" s="3" t="s">
        <v>12</v>
      </c>
      <c r="B1" s="3" t="s">
        <v>13</v>
      </c>
      <c r="C1" t="s">
        <v>18</v>
      </c>
      <c r="F1" s="4" t="s">
        <v>17</v>
      </c>
      <c r="G1" s="3" t="s">
        <v>19</v>
      </c>
      <c r="H1" s="3" t="s">
        <v>10</v>
      </c>
      <c r="K1" s="3"/>
      <c r="L1" s="3">
        <v>0</v>
      </c>
      <c r="M1" s="3">
        <v>0</v>
      </c>
      <c r="N1" s="3"/>
      <c r="O1" s="3"/>
      <c r="P1" s="3"/>
      <c r="Q1" s="3">
        <v>0</v>
      </c>
      <c r="R1" s="3">
        <v>0</v>
      </c>
      <c r="S1" s="1">
        <v>0</v>
      </c>
      <c r="T1" s="1">
        <v>1</v>
      </c>
    </row>
    <row r="2" spans="1:20" x14ac:dyDescent="0.25">
      <c r="A2" s="3">
        <v>32</v>
      </c>
      <c r="B2" s="3">
        <v>10837</v>
      </c>
      <c r="C2" s="7">
        <f>MONTH("1/1"+(1-WEEKDAY("1/1"))+(Table1[[#This Row],[WEEK]]-1)*7)</f>
        <v>8</v>
      </c>
      <c r="D2" s="7"/>
      <c r="E2" s="7"/>
      <c r="F2" s="6">
        <v>8</v>
      </c>
      <c r="G2" s="5">
        <v>62836</v>
      </c>
      <c r="H2" s="9">
        <v>4.5814027246645204E-2</v>
      </c>
      <c r="K2" s="3" t="s">
        <v>0</v>
      </c>
      <c r="L2" s="3">
        <v>1</v>
      </c>
      <c r="M2" s="5">
        <v>62836</v>
      </c>
      <c r="N2" s="3"/>
      <c r="O2" s="3"/>
      <c r="P2" s="3" t="s">
        <v>0</v>
      </c>
      <c r="Q2" s="3">
        <v>1</v>
      </c>
      <c r="R2" s="3">
        <f>(M2-M1)/(1-M1)</f>
        <v>62836</v>
      </c>
      <c r="S2" s="1">
        <f>R2*T1+S1</f>
        <v>62836</v>
      </c>
      <c r="T2" s="1">
        <f>$T$1-S2</f>
        <v>-62835</v>
      </c>
    </row>
    <row r="3" spans="1:20" x14ac:dyDescent="0.25">
      <c r="A3" s="3">
        <v>33</v>
      </c>
      <c r="B3" s="3">
        <v>11348</v>
      </c>
      <c r="C3" s="7">
        <f>MONTH("1/1"+(1-WEEKDAY("1/1"))+(Table1[[#This Row],[WEEK]]-1)*7)</f>
        <v>8</v>
      </c>
      <c r="D3" s="7"/>
      <c r="E3" s="7"/>
      <c r="F3" s="6">
        <v>9</v>
      </c>
      <c r="G3" s="5">
        <v>69068</v>
      </c>
      <c r="H3" s="9">
        <v>9.6171835411889506E-2</v>
      </c>
      <c r="K3" s="3" t="s">
        <v>1</v>
      </c>
      <c r="L3" s="3">
        <v>2</v>
      </c>
      <c r="M3" s="5">
        <v>69068</v>
      </c>
      <c r="N3" s="3"/>
      <c r="O3" s="3"/>
      <c r="P3" s="3" t="s">
        <v>1</v>
      </c>
      <c r="Q3" s="3">
        <v>2</v>
      </c>
      <c r="R3" s="3">
        <f t="shared" ref="R3:R11" si="0">(M3-M2)/(1-M2)</f>
        <v>-9.9180393093021402E-2</v>
      </c>
      <c r="S3" s="1">
        <f t="shared" ref="S3:S11" si="1">R3*T2+S2</f>
        <v>69068</v>
      </c>
      <c r="T3" s="11">
        <f t="shared" ref="T3:T11" si="2">$T$1-S3</f>
        <v>-69067</v>
      </c>
    </row>
    <row r="4" spans="1:20" x14ac:dyDescent="0.25">
      <c r="A4" s="3">
        <v>34</v>
      </c>
      <c r="B4" s="3">
        <v>12246</v>
      </c>
      <c r="C4" s="7">
        <f>MONTH("1/1"+(1-WEEKDAY("1/1"))+(Table1[[#This Row],[WEEK]]-1)*7)</f>
        <v>8</v>
      </c>
      <c r="D4" s="7"/>
      <c r="E4" s="7"/>
      <c r="F4" s="6">
        <v>10</v>
      </c>
      <c r="G4" s="5">
        <v>76101</v>
      </c>
      <c r="H4" s="9">
        <v>0.15165743741546941</v>
      </c>
      <c r="K4" s="3" t="s">
        <v>2</v>
      </c>
      <c r="L4" s="3">
        <v>3</v>
      </c>
      <c r="M4" s="5">
        <v>76101</v>
      </c>
      <c r="N4" s="3"/>
      <c r="O4" s="3"/>
      <c r="P4" s="3" t="s">
        <v>2</v>
      </c>
      <c r="Q4" s="3">
        <v>3</v>
      </c>
      <c r="R4" s="3">
        <f t="shared" si="0"/>
        <v>-0.10182865912809301</v>
      </c>
      <c r="S4" s="1">
        <f t="shared" si="1"/>
        <v>76101</v>
      </c>
      <c r="T4" s="11">
        <f t="shared" si="2"/>
        <v>-76100</v>
      </c>
    </row>
    <row r="5" spans="1:20" x14ac:dyDescent="0.25">
      <c r="A5" s="3">
        <v>35</v>
      </c>
      <c r="B5" s="3">
        <v>13804</v>
      </c>
      <c r="C5" s="7">
        <f>MONTH("1/1"+(1-WEEKDAY("1/1"))+(Table1[[#This Row],[WEEK]]-1)*7)</f>
        <v>8</v>
      </c>
      <c r="D5" s="7"/>
      <c r="E5" s="7"/>
      <c r="F5" s="6">
        <v>11</v>
      </c>
      <c r="G5" s="5">
        <v>132455</v>
      </c>
      <c r="H5" s="9">
        <v>0.248231009554918</v>
      </c>
      <c r="K5" s="3" t="s">
        <v>3</v>
      </c>
      <c r="L5" s="3">
        <v>4</v>
      </c>
      <c r="M5" s="5">
        <v>132455</v>
      </c>
      <c r="N5" s="3"/>
      <c r="O5" s="3"/>
      <c r="P5" s="3" t="s">
        <v>3</v>
      </c>
      <c r="Q5" s="3">
        <v>4</v>
      </c>
      <c r="R5" s="3">
        <f t="shared" si="0"/>
        <v>-0.74052562417871226</v>
      </c>
      <c r="S5" s="1">
        <f t="shared" si="1"/>
        <v>132455</v>
      </c>
      <c r="T5" s="11">
        <f t="shared" si="2"/>
        <v>-132454</v>
      </c>
    </row>
    <row r="6" spans="1:20" x14ac:dyDescent="0.25">
      <c r="A6" s="3">
        <v>36</v>
      </c>
      <c r="B6" s="3">
        <v>14601</v>
      </c>
      <c r="C6" s="7">
        <f>MONTH("1/1"+(1-WEEKDAY("1/1"))+(Table1[[#This Row],[WEEK]]-1)*7)</f>
        <v>8</v>
      </c>
      <c r="D6" s="7"/>
      <c r="E6" s="7"/>
      <c r="F6" s="6">
        <v>12</v>
      </c>
      <c r="G6" s="5">
        <v>193522</v>
      </c>
      <c r="H6" s="9">
        <v>0.38932882260516427</v>
      </c>
      <c r="K6" s="3" t="s">
        <v>4</v>
      </c>
      <c r="L6" s="3">
        <v>5</v>
      </c>
      <c r="M6" s="5">
        <v>193522</v>
      </c>
      <c r="N6" s="3"/>
      <c r="O6" s="3"/>
      <c r="P6" s="3" t="s">
        <v>4</v>
      </c>
      <c r="Q6" s="3">
        <v>5</v>
      </c>
      <c r="R6" s="3">
        <f t="shared" si="0"/>
        <v>-0.46104307910670872</v>
      </c>
      <c r="S6" s="1">
        <f t="shared" si="1"/>
        <v>193522</v>
      </c>
      <c r="T6" s="11">
        <f t="shared" si="2"/>
        <v>-193521</v>
      </c>
    </row>
    <row r="7" spans="1:20" x14ac:dyDescent="0.25">
      <c r="A7" s="3">
        <v>37</v>
      </c>
      <c r="B7" s="3">
        <v>16948</v>
      </c>
      <c r="C7" s="7">
        <f>MONTH("1/1"+(1-WEEKDAY("1/1"))+(Table1[[#This Row],[WEEK]]-1)*7)</f>
        <v>9</v>
      </c>
      <c r="D7" s="7"/>
      <c r="E7" s="7"/>
      <c r="F7" s="6">
        <v>1</v>
      </c>
      <c r="G7" s="5">
        <v>249265</v>
      </c>
      <c r="H7" s="9">
        <v>0.57106912277759758</v>
      </c>
      <c r="K7" s="3" t="s">
        <v>5</v>
      </c>
      <c r="L7" s="3">
        <v>6</v>
      </c>
      <c r="M7" s="5">
        <v>249265</v>
      </c>
      <c r="N7" s="3"/>
      <c r="O7" s="3"/>
      <c r="P7" s="3" t="s">
        <v>5</v>
      </c>
      <c r="Q7" s="3">
        <v>6</v>
      </c>
      <c r="R7" s="3">
        <f t="shared" si="0"/>
        <v>-0.28804625854558419</v>
      </c>
      <c r="S7" s="1">
        <f t="shared" si="1"/>
        <v>249265</v>
      </c>
      <c r="T7" s="11">
        <f t="shared" si="2"/>
        <v>-249264</v>
      </c>
    </row>
    <row r="8" spans="1:20" x14ac:dyDescent="0.25">
      <c r="A8" s="3">
        <v>38</v>
      </c>
      <c r="B8" s="3">
        <v>17999</v>
      </c>
      <c r="C8" s="7">
        <f>MONTH("1/1"+(1-WEEKDAY("1/1"))+(Table1[[#This Row],[WEEK]]-1)*7)</f>
        <v>9</v>
      </c>
      <c r="D8" s="7"/>
      <c r="E8" s="7"/>
      <c r="F8" s="6">
        <v>2</v>
      </c>
      <c r="G8" s="5">
        <v>215793</v>
      </c>
      <c r="H8" s="9">
        <v>0.72840482813177843</v>
      </c>
      <c r="K8" s="3" t="s">
        <v>6</v>
      </c>
      <c r="L8" s="3">
        <v>7</v>
      </c>
      <c r="M8" s="5">
        <v>215793</v>
      </c>
      <c r="N8" s="3"/>
      <c r="O8" s="3"/>
      <c r="P8" s="3" t="s">
        <v>6</v>
      </c>
      <c r="Q8" s="3">
        <v>7</v>
      </c>
      <c r="R8" s="3">
        <f t="shared" si="0"/>
        <v>0.13428333012388471</v>
      </c>
      <c r="S8" s="1">
        <f t="shared" si="1"/>
        <v>215793</v>
      </c>
      <c r="T8" s="11">
        <f t="shared" si="2"/>
        <v>-215792</v>
      </c>
    </row>
    <row r="9" spans="1:20" x14ac:dyDescent="0.25">
      <c r="A9" s="3">
        <v>39</v>
      </c>
      <c r="B9" s="3">
        <v>17935</v>
      </c>
      <c r="C9" s="7">
        <f>MONTH("1/1"+(1-WEEKDAY("1/1"))+(Table1[[#This Row],[WEEK]]-1)*7)</f>
        <v>9</v>
      </c>
      <c r="D9" s="7"/>
      <c r="E9" s="7"/>
      <c r="F9" s="6">
        <v>3</v>
      </c>
      <c r="G9" s="5">
        <v>197224</v>
      </c>
      <c r="H9" s="9">
        <v>0.8722017870357881</v>
      </c>
      <c r="K9" s="3" t="s">
        <v>7</v>
      </c>
      <c r="L9" s="3">
        <v>8</v>
      </c>
      <c r="M9" s="5">
        <v>197224</v>
      </c>
      <c r="N9" s="3"/>
      <c r="O9" s="3"/>
      <c r="P9" s="3" t="s">
        <v>7</v>
      </c>
      <c r="Q9" s="3">
        <v>8</v>
      </c>
      <c r="R9" s="3">
        <f t="shared" si="0"/>
        <v>8.6050455994661532E-2</v>
      </c>
      <c r="S9" s="1">
        <f t="shared" si="1"/>
        <v>197224</v>
      </c>
      <c r="T9" s="11">
        <f t="shared" si="2"/>
        <v>-197223</v>
      </c>
    </row>
    <row r="10" spans="1:20" x14ac:dyDescent="0.25">
      <c r="A10" s="3">
        <v>40</v>
      </c>
      <c r="B10" s="3">
        <v>16186</v>
      </c>
      <c r="C10" s="7">
        <f>MONTH("1/1"+(1-WEEKDAY("1/1"))+(Table1[[#This Row],[WEEK]]-1)*7)</f>
        <v>9</v>
      </c>
      <c r="D10" s="7"/>
      <c r="E10" s="7"/>
      <c r="F10" s="6">
        <v>4</v>
      </c>
      <c r="G10" s="5">
        <v>101664</v>
      </c>
      <c r="H10" s="9">
        <v>0.94632549424189505</v>
      </c>
      <c r="K10" s="3" t="s">
        <v>8</v>
      </c>
      <c r="L10" s="3">
        <v>9</v>
      </c>
      <c r="M10" s="5">
        <v>101664</v>
      </c>
      <c r="N10" s="3"/>
      <c r="O10" s="3"/>
      <c r="P10" s="3" t="s">
        <v>8</v>
      </c>
      <c r="Q10" s="3">
        <v>9</v>
      </c>
      <c r="R10" s="3">
        <f>(M10-M9)/(1-M9)</f>
        <v>0.48452766665145547</v>
      </c>
      <c r="S10" s="1">
        <f t="shared" si="1"/>
        <v>101664</v>
      </c>
      <c r="T10" s="11">
        <f t="shared" si="2"/>
        <v>-101663</v>
      </c>
    </row>
    <row r="11" spans="1:20" x14ac:dyDescent="0.25">
      <c r="A11" s="3">
        <v>41</v>
      </c>
      <c r="B11" s="3">
        <v>18006</v>
      </c>
      <c r="C11" s="7">
        <f>MONTH("1/1"+(1-WEEKDAY("1/1"))+(Table1[[#This Row],[WEEK]]-1)*7)</f>
        <v>10</v>
      </c>
      <c r="D11" s="7"/>
      <c r="E11" s="7"/>
      <c r="F11" s="6">
        <v>5</v>
      </c>
      <c r="G11" s="5">
        <v>73617</v>
      </c>
      <c r="H11" s="9">
        <v>1</v>
      </c>
      <c r="K11" s="3" t="s">
        <v>9</v>
      </c>
      <c r="L11" s="3">
        <v>10</v>
      </c>
      <c r="M11" s="5">
        <v>73617</v>
      </c>
      <c r="N11" s="3"/>
      <c r="O11" s="3"/>
      <c r="P11" s="3" t="s">
        <v>9</v>
      </c>
      <c r="Q11" s="3">
        <v>10</v>
      </c>
      <c r="R11" s="3">
        <f t="shared" si="0"/>
        <v>0.27588208099308498</v>
      </c>
      <c r="S11" s="1">
        <f t="shared" si="1"/>
        <v>73617</v>
      </c>
      <c r="T11" s="11">
        <f t="shared" si="2"/>
        <v>-73616</v>
      </c>
    </row>
    <row r="12" spans="1:20" x14ac:dyDescent="0.25">
      <c r="A12" s="3">
        <v>42</v>
      </c>
      <c r="B12" s="3">
        <v>18572</v>
      </c>
      <c r="C12" s="7">
        <f>MONTH("1/1"+(1-WEEKDAY("1/1"))+(Table1[[#This Row],[WEEK]]-1)*7)</f>
        <v>10</v>
      </c>
      <c r="D12" s="7"/>
      <c r="E12" s="7"/>
      <c r="F12" s="6" t="s">
        <v>11</v>
      </c>
      <c r="G12" s="5">
        <v>1371545</v>
      </c>
      <c r="H12" s="9"/>
      <c r="M12" s="9"/>
    </row>
    <row r="13" spans="1:20" x14ac:dyDescent="0.25">
      <c r="A13" s="3">
        <v>43</v>
      </c>
      <c r="B13" s="3">
        <v>19154</v>
      </c>
      <c r="C13" s="7">
        <f>MONTH("1/1"+(1-WEEKDAY("1/1"))+(Table1[[#This Row],[WEEK]]-1)*7)</f>
        <v>10</v>
      </c>
      <c r="D13" s="7"/>
      <c r="E13" s="7"/>
      <c r="M13" s="9"/>
    </row>
    <row r="14" spans="1:20" x14ac:dyDescent="0.25">
      <c r="A14" s="3">
        <v>44</v>
      </c>
      <c r="B14" s="3">
        <v>20369</v>
      </c>
      <c r="C14" s="7">
        <f>MONTH("1/1"+(1-WEEKDAY("1/1"))+(Table1[[#This Row],[WEEK]]-1)*7)</f>
        <v>10</v>
      </c>
      <c r="D14" s="7"/>
      <c r="E14" s="7"/>
    </row>
    <row r="15" spans="1:20" x14ac:dyDescent="0.25">
      <c r="A15" s="3">
        <v>45</v>
      </c>
      <c r="B15" s="3">
        <v>23025</v>
      </c>
      <c r="C15" s="7">
        <f>MONTH("1/1"+(1-WEEKDAY("1/1"))+(Table1[[#This Row],[WEEK]]-1)*7)</f>
        <v>11</v>
      </c>
      <c r="D15" s="7"/>
      <c r="E15" s="7"/>
    </row>
    <row r="16" spans="1:20" x14ac:dyDescent="0.25">
      <c r="A16" s="3">
        <v>46</v>
      </c>
      <c r="B16" s="3">
        <v>24038</v>
      </c>
      <c r="C16" s="7">
        <f>MONTH("1/1"+(1-WEEKDAY("1/1"))+(Table1[[#This Row],[WEEK]]-1)*7)</f>
        <v>11</v>
      </c>
      <c r="D16" s="7"/>
      <c r="E16" s="7"/>
    </row>
    <row r="17" spans="1:5" x14ac:dyDescent="0.25">
      <c r="A17" s="3">
        <v>47</v>
      </c>
      <c r="B17" s="3">
        <v>24875</v>
      </c>
      <c r="C17" s="7">
        <f>MONTH("1/1"+(1-WEEKDAY("1/1"))+(Table1[[#This Row],[WEEK]]-1)*7)</f>
        <v>11</v>
      </c>
      <c r="D17" s="7"/>
      <c r="E17" s="7"/>
    </row>
    <row r="18" spans="1:5" x14ac:dyDescent="0.25">
      <c r="A18" s="3">
        <v>48</v>
      </c>
      <c r="B18" s="3">
        <v>27272</v>
      </c>
      <c r="C18" s="7">
        <f>MONTH("1/1"+(1-WEEKDAY("1/1"))+(Table1[[#This Row],[WEEK]]-1)*7)</f>
        <v>11</v>
      </c>
      <c r="D18" s="7"/>
      <c r="E18" s="7"/>
    </row>
    <row r="19" spans="1:5" x14ac:dyDescent="0.25">
      <c r="A19" s="3">
        <v>49</v>
      </c>
      <c r="B19" s="3">
        <v>33245</v>
      </c>
      <c r="C19" s="7">
        <f>MONTH("1/1"+(1-WEEKDAY("1/1"))+(Table1[[#This Row],[WEEK]]-1)*7)</f>
        <v>11</v>
      </c>
      <c r="D19" s="7"/>
      <c r="E19" s="7"/>
    </row>
    <row r="20" spans="1:5" x14ac:dyDescent="0.25">
      <c r="A20" s="3">
        <v>1</v>
      </c>
      <c r="B20" s="3">
        <v>62944</v>
      </c>
      <c r="C20" s="7">
        <f>MONTH("1/1"+(1-WEEKDAY("1/1"))+(Table1[[#This Row],[WEEK]]-1)*7)</f>
        <v>12</v>
      </c>
      <c r="D20" s="7"/>
      <c r="E20" s="7"/>
    </row>
    <row r="21" spans="1:5" x14ac:dyDescent="0.25">
      <c r="A21" s="3">
        <v>50</v>
      </c>
      <c r="B21" s="3">
        <v>38098</v>
      </c>
      <c r="C21" s="7">
        <f>MONTH("1/1"+(1-WEEKDAY("1/1"))+(Table1[[#This Row],[WEEK]]-1)*7)</f>
        <v>12</v>
      </c>
      <c r="D21" s="7"/>
      <c r="E21" s="7"/>
    </row>
    <row r="22" spans="1:5" x14ac:dyDescent="0.25">
      <c r="A22" s="3">
        <v>51</v>
      </c>
      <c r="B22" s="3">
        <v>44164</v>
      </c>
      <c r="C22" s="7">
        <f>MONTH("1/1"+(1-WEEKDAY("1/1"))+(Table1[[#This Row],[WEEK]]-1)*7)</f>
        <v>12</v>
      </c>
      <c r="D22" s="7"/>
      <c r="E22" s="7"/>
    </row>
    <row r="23" spans="1:5" x14ac:dyDescent="0.25">
      <c r="A23" s="3">
        <v>52</v>
      </c>
      <c r="B23" s="3">
        <v>48316</v>
      </c>
      <c r="C23" s="7">
        <f>MONTH("1/1"+(1-WEEKDAY("1/1"))+(Table1[[#This Row],[WEEK]]-1)*7)</f>
        <v>12</v>
      </c>
      <c r="D23" s="7"/>
      <c r="E23" s="7"/>
    </row>
    <row r="24" spans="1:5" x14ac:dyDescent="0.25">
      <c r="A24" s="3">
        <v>2</v>
      </c>
      <c r="B24" s="3">
        <v>64667</v>
      </c>
      <c r="C24" s="7">
        <f>MONTH("1/1"+(1-WEEKDAY("1/1"))+(Table1[[#This Row],[WEEK]]-1)*7)</f>
        <v>1</v>
      </c>
      <c r="D24" s="7"/>
      <c r="E24" s="7"/>
    </row>
    <row r="25" spans="1:5" x14ac:dyDescent="0.25">
      <c r="A25" s="3">
        <v>3</v>
      </c>
      <c r="B25" s="3">
        <v>63227</v>
      </c>
      <c r="C25" s="7">
        <f>MONTH("1/1"+(1-WEEKDAY("1/1"))+(Table1[[#This Row],[WEEK]]-1)*7)</f>
        <v>1</v>
      </c>
      <c r="D25" s="7"/>
      <c r="E25" s="7"/>
    </row>
    <row r="26" spans="1:5" x14ac:dyDescent="0.25">
      <c r="A26" s="3">
        <v>4</v>
      </c>
      <c r="B26" s="3">
        <v>62224</v>
      </c>
      <c r="C26" s="7">
        <f>MONTH("1/1"+(1-WEEKDAY("1/1"))+(Table1[[#This Row],[WEEK]]-1)*7)</f>
        <v>1</v>
      </c>
      <c r="D26" s="7"/>
      <c r="E26" s="7"/>
    </row>
    <row r="27" spans="1:5" x14ac:dyDescent="0.25">
      <c r="A27" s="3">
        <v>5</v>
      </c>
      <c r="B27" s="3">
        <v>59147</v>
      </c>
      <c r="C27" s="7">
        <f>MONTH("1/1"+(1-WEEKDAY("1/1"))+(Table1[[#This Row],[WEEK]]-1)*7)</f>
        <v>1</v>
      </c>
      <c r="D27" s="7"/>
      <c r="E27" s="7"/>
    </row>
    <row r="28" spans="1:5" x14ac:dyDescent="0.25">
      <c r="A28" s="3">
        <v>6</v>
      </c>
      <c r="B28" s="3">
        <v>56586</v>
      </c>
      <c r="C28" s="7">
        <f>MONTH("1/1"+(1-WEEKDAY("1/1"))+(Table1[[#This Row],[WEEK]]-1)*7)</f>
        <v>2</v>
      </c>
      <c r="D28" s="7"/>
      <c r="E28" s="7"/>
    </row>
    <row r="29" spans="1:5" x14ac:dyDescent="0.25">
      <c r="A29" s="3">
        <v>7</v>
      </c>
      <c r="B29" s="3">
        <v>56397</v>
      </c>
      <c r="C29" s="7">
        <f>MONTH("1/1"+(1-WEEKDAY("1/1"))+(Table1[[#This Row],[WEEK]]-1)*7)</f>
        <v>2</v>
      </c>
      <c r="D29" s="7"/>
      <c r="E29" s="7"/>
    </row>
    <row r="30" spans="1:5" x14ac:dyDescent="0.25">
      <c r="A30" s="3">
        <v>8</v>
      </c>
      <c r="B30" s="3">
        <v>53129</v>
      </c>
      <c r="C30" s="7">
        <f>MONTH("1/1"+(1-WEEKDAY("1/1"))+(Table1[[#This Row],[WEEK]]-1)*7)</f>
        <v>2</v>
      </c>
      <c r="D30" s="7"/>
      <c r="E30" s="7"/>
    </row>
    <row r="31" spans="1:5" x14ac:dyDescent="0.25">
      <c r="A31" s="3">
        <v>9</v>
      </c>
      <c r="B31" s="3">
        <v>49681</v>
      </c>
      <c r="C31" s="7">
        <f>MONTH("1/1"+(1-WEEKDAY("1/1"))+(Table1[[#This Row],[WEEK]]-1)*7)</f>
        <v>2</v>
      </c>
      <c r="D31" s="7"/>
      <c r="E31" s="7"/>
    </row>
    <row r="32" spans="1:5" x14ac:dyDescent="0.25">
      <c r="A32" s="3">
        <v>10</v>
      </c>
      <c r="B32" s="3">
        <v>47157</v>
      </c>
      <c r="C32" s="7">
        <f>MONTH("1/1"+(1-WEEKDAY("1/1"))+(Table1[[#This Row],[WEEK]]-1)*7)</f>
        <v>3</v>
      </c>
      <c r="D32" s="7"/>
      <c r="E32" s="7"/>
    </row>
    <row r="33" spans="1:5" x14ac:dyDescent="0.25">
      <c r="A33" s="3">
        <v>11</v>
      </c>
      <c r="B33" s="3">
        <v>43600</v>
      </c>
      <c r="C33" s="7">
        <f>MONTH("1/1"+(1-WEEKDAY("1/1"))+(Table1[[#This Row],[WEEK]]-1)*7)</f>
        <v>3</v>
      </c>
      <c r="D33" s="7"/>
      <c r="E33" s="7"/>
    </row>
    <row r="34" spans="1:5" x14ac:dyDescent="0.25">
      <c r="A34" s="3">
        <v>12</v>
      </c>
      <c r="B34" s="3">
        <v>38890</v>
      </c>
      <c r="C34" s="7">
        <f>MONTH("1/1"+(1-WEEKDAY("1/1"))+(Table1[[#This Row],[WEEK]]-1)*7)</f>
        <v>3</v>
      </c>
      <c r="D34" s="7"/>
      <c r="E34" s="7"/>
    </row>
    <row r="35" spans="1:5" x14ac:dyDescent="0.25">
      <c r="A35" s="3">
        <v>13</v>
      </c>
      <c r="B35" s="3">
        <v>35399</v>
      </c>
      <c r="C35" s="7">
        <f>MONTH("1/1"+(1-WEEKDAY("1/1"))+(Table1[[#This Row],[WEEK]]-1)*7)</f>
        <v>3</v>
      </c>
      <c r="D35" s="7"/>
      <c r="E35" s="7"/>
    </row>
    <row r="36" spans="1:5" x14ac:dyDescent="0.25">
      <c r="A36" s="3">
        <v>14</v>
      </c>
      <c r="B36" s="3">
        <v>32178</v>
      </c>
      <c r="C36" s="7">
        <f>MONTH("1/1"+(1-WEEKDAY("1/1"))+(Table1[[#This Row],[WEEK]]-1)*7)</f>
        <v>3</v>
      </c>
      <c r="D36" s="7"/>
      <c r="E36" s="7"/>
    </row>
    <row r="37" spans="1:5" x14ac:dyDescent="0.25">
      <c r="A37" s="3">
        <v>15</v>
      </c>
      <c r="B37" s="3">
        <v>29369</v>
      </c>
      <c r="C37" s="7">
        <f>MONTH("1/1"+(1-WEEKDAY("1/1"))+(Table1[[#This Row],[WEEK]]-1)*7)</f>
        <v>4</v>
      </c>
      <c r="D37" s="7"/>
      <c r="E37" s="7"/>
    </row>
    <row r="38" spans="1:5" x14ac:dyDescent="0.25">
      <c r="A38" s="3">
        <v>16</v>
      </c>
      <c r="B38" s="3">
        <v>26266</v>
      </c>
      <c r="C38" s="7">
        <f>MONTH("1/1"+(1-WEEKDAY("1/1"))+(Table1[[#This Row],[WEEK]]-1)*7)</f>
        <v>4</v>
      </c>
      <c r="D38" s="7"/>
      <c r="E38" s="7"/>
    </row>
    <row r="39" spans="1:5" x14ac:dyDescent="0.25">
      <c r="A39" s="3">
        <v>17</v>
      </c>
      <c r="B39" s="3">
        <v>24013</v>
      </c>
      <c r="C39" s="7">
        <f>MONTH("1/1"+(1-WEEKDAY("1/1"))+(Table1[[#This Row],[WEEK]]-1)*7)</f>
        <v>4</v>
      </c>
      <c r="D39" s="7"/>
      <c r="E39" s="7"/>
    </row>
    <row r="40" spans="1:5" x14ac:dyDescent="0.25">
      <c r="A40" s="3">
        <v>18</v>
      </c>
      <c r="B40" s="3">
        <v>22016</v>
      </c>
      <c r="C40" s="7">
        <f>MONTH("1/1"+(1-WEEKDAY("1/1"))+(Table1[[#This Row],[WEEK]]-1)*7)</f>
        <v>4</v>
      </c>
      <c r="D40" s="7"/>
      <c r="E40" s="7"/>
    </row>
    <row r="41" spans="1:5" x14ac:dyDescent="0.25">
      <c r="A41" s="3">
        <v>19</v>
      </c>
      <c r="B41" s="3">
        <v>20118</v>
      </c>
      <c r="C41" s="7">
        <f>MONTH("1/1"+(1-WEEKDAY("1/1"))+(Table1[[#This Row],[WEEK]]-1)*7)</f>
        <v>5</v>
      </c>
      <c r="D41" s="7"/>
      <c r="E41" s="7"/>
    </row>
    <row r="42" spans="1:5" x14ac:dyDescent="0.25">
      <c r="A42" s="3">
        <v>20</v>
      </c>
      <c r="B42" s="3">
        <v>19199</v>
      </c>
      <c r="C42" s="7">
        <f>MONTH("1/1"+(1-WEEKDAY("1/1"))+(Table1[[#This Row],[WEEK]]-1)*7)</f>
        <v>5</v>
      </c>
      <c r="D42" s="7"/>
      <c r="E42" s="7"/>
    </row>
    <row r="43" spans="1:5" x14ac:dyDescent="0.25">
      <c r="A43" s="3">
        <v>21</v>
      </c>
      <c r="B43" s="3">
        <v>18040</v>
      </c>
      <c r="C43" s="7">
        <f>MONTH("1/1"+(1-WEEKDAY("1/1"))+(Table1[[#This Row],[WEEK]]-1)*7)</f>
        <v>5</v>
      </c>
      <c r="D43" s="7"/>
      <c r="E43" s="7"/>
    </row>
    <row r="44" spans="1:5" x14ac:dyDescent="0.25">
      <c r="A44" s="3">
        <v>22</v>
      </c>
      <c r="B44" s="3">
        <v>16260</v>
      </c>
      <c r="C44" s="7">
        <f>MONTH("1/1"+(1-WEEKDAY("1/1"))+(Table1[[#This Row],[WEEK]]-1)*7)</f>
        <v>5</v>
      </c>
      <c r="D44" s="7"/>
      <c r="E44" s="7"/>
    </row>
    <row r="45" spans="1:5" x14ac:dyDescent="0.25">
      <c r="A45" s="3">
        <v>23</v>
      </c>
      <c r="B45" s="3">
        <v>15344</v>
      </c>
      <c r="C45" s="7">
        <f>MONTH("1/1"+(1-WEEKDAY("1/1"))+(Table1[[#This Row],[WEEK]]-1)*7)</f>
        <v>6</v>
      </c>
      <c r="D45" s="7"/>
      <c r="E45" s="7"/>
    </row>
    <row r="46" spans="1:5" x14ac:dyDescent="0.25">
      <c r="A46" s="3">
        <v>24</v>
      </c>
      <c r="B46" s="3">
        <v>14411</v>
      </c>
      <c r="C46" s="7">
        <f>MONTH("1/1"+(1-WEEKDAY("1/1"))+(Table1[[#This Row],[WEEK]]-1)*7)</f>
        <v>6</v>
      </c>
      <c r="D46" s="7"/>
      <c r="E46" s="7"/>
    </row>
    <row r="47" spans="1:5" x14ac:dyDescent="0.25">
      <c r="A47" s="3">
        <v>25</v>
      </c>
      <c r="B47" s="3">
        <v>13571</v>
      </c>
      <c r="C47" s="7">
        <f>MONTH("1/1"+(1-WEEKDAY("1/1"))+(Table1[[#This Row],[WEEK]]-1)*7)</f>
        <v>6</v>
      </c>
      <c r="D47" s="7"/>
      <c r="E47" s="7"/>
    </row>
    <row r="48" spans="1:5" x14ac:dyDescent="0.25">
      <c r="A48" s="3">
        <v>26</v>
      </c>
      <c r="B48" s="3">
        <v>12061</v>
      </c>
      <c r="C48" s="7">
        <f>MONTH("1/1"+(1-WEEKDAY("1/1"))+(Table1[[#This Row],[WEEK]]-1)*7)</f>
        <v>6</v>
      </c>
      <c r="D48" s="7"/>
      <c r="E48" s="7"/>
    </row>
    <row r="49" spans="1:5" x14ac:dyDescent="0.25">
      <c r="A49" s="3">
        <v>27</v>
      </c>
      <c r="B49" s="3">
        <v>10810</v>
      </c>
      <c r="C49" s="7">
        <f>MONTH("1/1"+(1-WEEKDAY("1/1"))+(Table1[[#This Row],[WEEK]]-1)*7)</f>
        <v>6</v>
      </c>
      <c r="D49" s="7"/>
      <c r="E49" s="7"/>
    </row>
    <row r="50" spans="1:5" x14ac:dyDescent="0.25">
      <c r="A50" s="3">
        <v>28</v>
      </c>
      <c r="B50" s="3">
        <v>10869</v>
      </c>
      <c r="C50" s="7">
        <f>MONTH("1/1"+(1-WEEKDAY("1/1"))+(Table1[[#This Row],[WEEK]]-1)*7)</f>
        <v>7</v>
      </c>
      <c r="D50" s="7"/>
      <c r="E50" s="7"/>
    </row>
    <row r="51" spans="1:5" x14ac:dyDescent="0.25">
      <c r="A51" s="3">
        <v>29</v>
      </c>
      <c r="B51" s="3">
        <v>10872</v>
      </c>
      <c r="C51" s="7">
        <f>MONTH("1/1"+(1-WEEKDAY("1/1"))+(Table1[[#This Row],[WEEK]]-1)*7)</f>
        <v>7</v>
      </c>
      <c r="D51" s="7"/>
      <c r="E51" s="7"/>
    </row>
    <row r="52" spans="1:5" x14ac:dyDescent="0.25">
      <c r="A52" s="3">
        <v>30</v>
      </c>
      <c r="B52" s="3">
        <v>10462</v>
      </c>
      <c r="C52" s="7">
        <f>MONTH("1/1"+(1-WEEKDAY("1/1"))+(Table1[[#This Row],[WEEK]]-1)*7)</f>
        <v>7</v>
      </c>
      <c r="D52" s="7"/>
      <c r="E52" s="7"/>
    </row>
    <row r="53" spans="1:5" x14ac:dyDescent="0.25">
      <c r="A53" s="3">
        <v>31</v>
      </c>
      <c r="B53" s="3">
        <v>10576</v>
      </c>
      <c r="C53" s="7">
        <f>MONTH("1/1"+(1-WEEKDAY("1/1"))+(Table1[[#This Row],[WEEK]]-1)*7)</f>
        <v>7</v>
      </c>
      <c r="D53" s="7"/>
      <c r="E53" s="7"/>
    </row>
  </sheetData>
  <pageMargins left="0.7" right="0.7" top="0.75" bottom="0.75" header="0.3" footer="0.3"/>
  <pageSetup orientation="portrait" horizontalDpi="1200" verticalDpi="1200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topLeftCell="D1" workbookViewId="0">
      <selection activeCell="T2" sqref="T2"/>
    </sheetView>
  </sheetViews>
  <sheetFormatPr defaultRowHeight="15" x14ac:dyDescent="0.25"/>
  <cols>
    <col min="1" max="1" width="9.140625" style="3"/>
    <col min="2" max="2" width="19.42578125" style="3" customWidth="1"/>
    <col min="3" max="5" width="9.140625" style="3"/>
    <col min="6" max="6" width="13.140625" style="3" customWidth="1"/>
    <col min="7" max="7" width="27.85546875" style="3" customWidth="1"/>
    <col min="8" max="8" width="15" style="3" customWidth="1"/>
    <col min="9" max="16384" width="9.140625" style="3"/>
  </cols>
  <sheetData>
    <row r="1" spans="1:20" x14ac:dyDescent="0.25">
      <c r="A1" s="3" t="s">
        <v>12</v>
      </c>
      <c r="B1" s="3" t="s">
        <v>14</v>
      </c>
      <c r="C1" s="3" t="s">
        <v>18</v>
      </c>
      <c r="D1" s="3" t="s">
        <v>21</v>
      </c>
      <c r="L1" s="3">
        <v>0</v>
      </c>
      <c r="M1" s="3">
        <v>0</v>
      </c>
      <c r="Q1" s="3">
        <v>0</v>
      </c>
      <c r="R1" s="3">
        <v>0</v>
      </c>
      <c r="S1" s="1">
        <v>0</v>
      </c>
      <c r="T1" s="1">
        <v>1</v>
      </c>
    </row>
    <row r="2" spans="1:20" x14ac:dyDescent="0.25">
      <c r="A2" s="3">
        <v>1</v>
      </c>
      <c r="B2" s="3">
        <v>19.398928312399999</v>
      </c>
      <c r="C2" s="7">
        <f>MONTH("1/1"+(1-WEEKDAY("1/1"))+(Table2[[#This Row],[WEEK]]-1)*7)</f>
        <v>12</v>
      </c>
      <c r="D2" s="8">
        <f>Table2[[#This Row],[PERCENT POSITIVE]]/100</f>
        <v>0.19398928312399999</v>
      </c>
      <c r="F2" s="12" t="s">
        <v>17</v>
      </c>
      <c r="G2" s="10" t="s">
        <v>20</v>
      </c>
      <c r="H2" s="10" t="s">
        <v>24</v>
      </c>
      <c r="K2" s="3" t="s">
        <v>0</v>
      </c>
      <c r="L2" s="3">
        <v>1</v>
      </c>
      <c r="M2" s="13">
        <v>2.7307891349199975</v>
      </c>
      <c r="P2" s="3" t="s">
        <v>0</v>
      </c>
      <c r="Q2" s="3">
        <v>1</v>
      </c>
      <c r="R2" s="3">
        <f t="shared" ref="R2:R11" si="0">(M2-M1)/(1-M1)</f>
        <v>2.7307891349199975</v>
      </c>
      <c r="S2" s="1">
        <f>R2*T1+S1</f>
        <v>2.7307891349199975</v>
      </c>
      <c r="T2" s="1">
        <f>$T$1-S2</f>
        <v>-1.7307891349199975</v>
      </c>
    </row>
    <row r="3" spans="1:20" x14ac:dyDescent="0.25">
      <c r="A3" s="3">
        <v>2</v>
      </c>
      <c r="B3" s="3">
        <v>20.090553695000001</v>
      </c>
      <c r="C3" s="3">
        <f>MONTH("1/1"+(1-WEEKDAY("1/1"))+(Table2[[#This Row],[WEEK]]-1)*7)</f>
        <v>1</v>
      </c>
      <c r="D3" s="8">
        <f>Table2[[#This Row],[PERCENT POSITIVE]]/100</f>
        <v>0.20090553695000002</v>
      </c>
      <c r="F3" s="14">
        <v>8</v>
      </c>
      <c r="G3" s="13">
        <v>2.7307891349199975</v>
      </c>
      <c r="H3" s="13">
        <v>0.13653945674599988</v>
      </c>
      <c r="K3" s="3" t="s">
        <v>1</v>
      </c>
      <c r="L3" s="3">
        <v>2</v>
      </c>
      <c r="M3" s="13">
        <v>2.3761486946124952</v>
      </c>
      <c r="P3" s="3" t="s">
        <v>1</v>
      </c>
      <c r="Q3" s="3">
        <v>2</v>
      </c>
      <c r="R3" s="3">
        <f t="shared" si="0"/>
        <v>0.20490100911333425</v>
      </c>
      <c r="S3" s="1">
        <f t="shared" ref="S3:S11" si="1">R3*T2+S2</f>
        <v>2.3761486946124952</v>
      </c>
      <c r="T3" s="11">
        <f t="shared" ref="T3:T11" si="2">$T$1-S3</f>
        <v>-1.3761486946124952</v>
      </c>
    </row>
    <row r="4" spans="1:20" x14ac:dyDescent="0.25">
      <c r="A4" s="3">
        <v>3</v>
      </c>
      <c r="B4" s="3">
        <v>20.498286565400001</v>
      </c>
      <c r="C4" s="3">
        <f>MONTH("1/1"+(1-WEEKDAY("1/1"))+(Table2[[#This Row],[WEEK]]-1)*7)</f>
        <v>1</v>
      </c>
      <c r="D4" s="8">
        <f>Table2[[#This Row],[PERCENT POSITIVE]]/100</f>
        <v>0.20498286565400001</v>
      </c>
      <c r="F4" s="14">
        <v>9</v>
      </c>
      <c r="G4" s="13">
        <v>2.3761486946124952</v>
      </c>
      <c r="H4" s="13">
        <v>9.5045947784499804E-2</v>
      </c>
      <c r="K4" s="3" t="s">
        <v>2</v>
      </c>
      <c r="L4" s="3">
        <v>3</v>
      </c>
      <c r="M4" s="13">
        <v>3.6788249685624974</v>
      </c>
      <c r="P4" s="3" t="s">
        <v>2</v>
      </c>
      <c r="Q4" s="3">
        <v>3</v>
      </c>
      <c r="R4" s="3">
        <f t="shared" si="0"/>
        <v>-0.94661011491699165</v>
      </c>
      <c r="S4" s="1">
        <f t="shared" si="1"/>
        <v>3.6788249685624974</v>
      </c>
      <c r="T4" s="11">
        <f t="shared" si="2"/>
        <v>-2.6788249685624974</v>
      </c>
    </row>
    <row r="5" spans="1:20" x14ac:dyDescent="0.25">
      <c r="A5" s="3">
        <v>4</v>
      </c>
      <c r="B5" s="3">
        <v>20.2877895114</v>
      </c>
      <c r="C5" s="3">
        <f>MONTH("1/1"+(1-WEEKDAY("1/1"))+(Table2[[#This Row],[WEEK]]-1)*7)</f>
        <v>1</v>
      </c>
      <c r="D5" s="8">
        <f>Table2[[#This Row],[PERCENT POSITIVE]]/100</f>
        <v>0.20287789511400001</v>
      </c>
      <c r="F5" s="14">
        <v>10</v>
      </c>
      <c r="G5" s="13">
        <v>3.6788249685624974</v>
      </c>
      <c r="H5" s="13">
        <v>0.1471529987424999</v>
      </c>
      <c r="K5" s="3" t="s">
        <v>3</v>
      </c>
      <c r="L5" s="3">
        <v>4</v>
      </c>
      <c r="M5" s="13">
        <v>10.1286320521</v>
      </c>
      <c r="P5" s="3" t="s">
        <v>3</v>
      </c>
      <c r="Q5" s="3">
        <v>4</v>
      </c>
      <c r="R5" s="3">
        <f t="shared" si="0"/>
        <v>-2.4077000771717376</v>
      </c>
      <c r="S5" s="1">
        <f t="shared" si="1"/>
        <v>10.1286320521</v>
      </c>
      <c r="T5" s="11">
        <f t="shared" si="2"/>
        <v>-9.1286320521000004</v>
      </c>
    </row>
    <row r="6" spans="1:20" x14ac:dyDescent="0.25">
      <c r="A6" s="3">
        <v>5</v>
      </c>
      <c r="B6" s="3">
        <v>19.6782002912</v>
      </c>
      <c r="C6" s="3">
        <f>MONTH("1/1"+(1-WEEKDAY("1/1"))+(Table2[[#This Row],[WEEK]]-1)*7)</f>
        <v>1</v>
      </c>
      <c r="D6" s="8">
        <f>Table2[[#This Row],[PERCENT POSITIVE]]/100</f>
        <v>0.19678200291199999</v>
      </c>
      <c r="F6" s="14">
        <v>11</v>
      </c>
      <c r="G6" s="13">
        <v>10.1286320521</v>
      </c>
      <c r="H6" s="13">
        <v>0.50643160260500009</v>
      </c>
      <c r="K6" s="3" t="s">
        <v>4</v>
      </c>
      <c r="L6" s="3">
        <v>5</v>
      </c>
      <c r="M6" s="13">
        <v>21.616919663037475</v>
      </c>
      <c r="P6" s="3" t="s">
        <v>4</v>
      </c>
      <c r="Q6" s="3">
        <v>5</v>
      </c>
      <c r="R6" s="3">
        <f t="shared" si="0"/>
        <v>-1.2584895026297664</v>
      </c>
      <c r="S6" s="1">
        <f t="shared" si="1"/>
        <v>21.616919663037475</v>
      </c>
      <c r="T6" s="11">
        <f t="shared" si="2"/>
        <v>-20.616919663037475</v>
      </c>
    </row>
    <row r="7" spans="1:20" x14ac:dyDescent="0.25">
      <c r="A7" s="3">
        <v>6</v>
      </c>
      <c r="B7" s="3">
        <v>18.7348638958</v>
      </c>
      <c r="C7" s="3">
        <f>MONTH("1/1"+(1-WEEKDAY("1/1"))+(Table2[[#This Row],[WEEK]]-1)*7)</f>
        <v>2</v>
      </c>
      <c r="D7" s="8">
        <f>Table2[[#This Row],[PERCENT POSITIVE]]/100</f>
        <v>0.187348638958</v>
      </c>
      <c r="F7" s="14">
        <v>12</v>
      </c>
      <c r="G7" s="13">
        <v>21.616919663037475</v>
      </c>
      <c r="H7" s="13">
        <v>0.86467678652149904</v>
      </c>
      <c r="K7" s="3" t="s">
        <v>5</v>
      </c>
      <c r="L7" s="3">
        <v>6</v>
      </c>
      <c r="M7" s="13">
        <v>20.138707515749999</v>
      </c>
      <c r="P7" s="3" t="s">
        <v>5</v>
      </c>
      <c r="Q7" s="3">
        <v>6</v>
      </c>
      <c r="R7" s="3">
        <f t="shared" si="0"/>
        <v>7.1698981780369986E-2</v>
      </c>
      <c r="S7" s="1">
        <f t="shared" si="1"/>
        <v>20.138707515749999</v>
      </c>
      <c r="T7" s="11">
        <f t="shared" si="2"/>
        <v>-19.138707515749999</v>
      </c>
    </row>
    <row r="8" spans="1:20" x14ac:dyDescent="0.25">
      <c r="A8" s="3">
        <v>7</v>
      </c>
      <c r="B8" s="3">
        <v>18.410438882599902</v>
      </c>
      <c r="C8" s="3">
        <f>MONTH("1/1"+(1-WEEKDAY("1/1"))+(Table2[[#This Row],[WEEK]]-1)*7)</f>
        <v>2</v>
      </c>
      <c r="D8" s="8">
        <f>Table2[[#This Row],[PERCENT POSITIVE]]/100</f>
        <v>0.18410438882599903</v>
      </c>
      <c r="F8" s="14">
        <v>1</v>
      </c>
      <c r="G8" s="13">
        <v>20.138707515749999</v>
      </c>
      <c r="H8" s="13">
        <v>0.80554830062999994</v>
      </c>
      <c r="K8" s="3" t="s">
        <v>6</v>
      </c>
      <c r="L8" s="3">
        <v>7</v>
      </c>
      <c r="M8" s="13">
        <v>18.145501844999977</v>
      </c>
      <c r="P8" s="3" t="s">
        <v>6</v>
      </c>
      <c r="Q8" s="3">
        <v>7</v>
      </c>
      <c r="R8" s="3">
        <f t="shared" si="0"/>
        <v>0.10414526002394543</v>
      </c>
      <c r="S8" s="1">
        <f t="shared" si="1"/>
        <v>18.145501844999977</v>
      </c>
      <c r="T8" s="11">
        <f t="shared" si="2"/>
        <v>-17.145501844999977</v>
      </c>
    </row>
    <row r="9" spans="1:20" x14ac:dyDescent="0.25">
      <c r="A9" s="3">
        <v>8</v>
      </c>
      <c r="B9" s="3">
        <v>17.822259822199999</v>
      </c>
      <c r="C9" s="3">
        <f>MONTH("1/1"+(1-WEEKDAY("1/1"))+(Table2[[#This Row],[WEEK]]-1)*7)</f>
        <v>2</v>
      </c>
      <c r="D9" s="8">
        <f>Table2[[#This Row],[PERCENT POSITIVE]]/100</f>
        <v>0.17822259822199998</v>
      </c>
      <c r="F9" s="14">
        <v>2</v>
      </c>
      <c r="G9" s="13">
        <v>18.145501844999977</v>
      </c>
      <c r="H9" s="13">
        <v>0.72582007379999913</v>
      </c>
      <c r="K9" s="3" t="s">
        <v>7</v>
      </c>
      <c r="L9" s="3">
        <v>8</v>
      </c>
      <c r="M9" s="13">
        <v>15.12696205411998</v>
      </c>
      <c r="P9" s="3" t="s">
        <v>7</v>
      </c>
      <c r="Q9" s="3">
        <v>8</v>
      </c>
      <c r="R9" s="3">
        <f t="shared" si="0"/>
        <v>0.17605432714471828</v>
      </c>
      <c r="S9" s="1">
        <f t="shared" si="1"/>
        <v>15.12696205411998</v>
      </c>
      <c r="T9" s="11">
        <f t="shared" si="2"/>
        <v>-14.12696205411998</v>
      </c>
    </row>
    <row r="10" spans="1:20" x14ac:dyDescent="0.25">
      <c r="A10" s="3">
        <v>9</v>
      </c>
      <c r="B10" s="3">
        <v>17.614444779399999</v>
      </c>
      <c r="C10" s="3">
        <f>MONTH("1/1"+(1-WEEKDAY("1/1"))+(Table2[[#This Row],[WEEK]]-1)*7)</f>
        <v>2</v>
      </c>
      <c r="D10" s="8">
        <f>Table2[[#This Row],[PERCENT POSITIVE]]/100</f>
        <v>0.17614444779399999</v>
      </c>
      <c r="F10" s="14">
        <v>3</v>
      </c>
      <c r="G10" s="13">
        <v>15.12696205411998</v>
      </c>
      <c r="H10" s="13">
        <v>0.75634810270599895</v>
      </c>
      <c r="K10" s="3" t="s">
        <v>8</v>
      </c>
      <c r="L10" s="3">
        <v>9</v>
      </c>
      <c r="M10" s="13">
        <v>9.2074246311499746</v>
      </c>
      <c r="P10" s="3" t="s">
        <v>8</v>
      </c>
      <c r="Q10" s="3">
        <v>9</v>
      </c>
      <c r="R10" s="3">
        <f t="shared" si="0"/>
        <v>0.41902409026742127</v>
      </c>
      <c r="S10" s="1">
        <f t="shared" si="1"/>
        <v>9.2074246311499746</v>
      </c>
      <c r="T10" s="11">
        <f t="shared" si="2"/>
        <v>-8.2074246311499746</v>
      </c>
    </row>
    <row r="11" spans="1:20" x14ac:dyDescent="0.25">
      <c r="A11" s="3">
        <v>10</v>
      </c>
      <c r="B11" s="3">
        <v>17.467208343599999</v>
      </c>
      <c r="C11" s="3">
        <f>MONTH("1/1"+(1-WEEKDAY("1/1"))+(Table2[[#This Row],[WEEK]]-1)*7)</f>
        <v>3</v>
      </c>
      <c r="D11" s="8">
        <f>Table2[[#This Row],[PERCENT POSITIVE]]/100</f>
        <v>0.17467208343599999</v>
      </c>
      <c r="F11" s="14">
        <v>4</v>
      </c>
      <c r="G11" s="13">
        <v>9.2074246311499746</v>
      </c>
      <c r="H11" s="13">
        <v>0.36829698524599896</v>
      </c>
      <c r="K11" s="3" t="s">
        <v>9</v>
      </c>
      <c r="L11" s="3">
        <v>10</v>
      </c>
      <c r="M11" s="13">
        <v>5.6166249611500003</v>
      </c>
      <c r="P11" s="3" t="s">
        <v>9</v>
      </c>
      <c r="Q11" s="3">
        <v>10</v>
      </c>
      <c r="R11" s="3">
        <f t="shared" si="0"/>
        <v>0.43750626187557851</v>
      </c>
      <c r="S11" s="1">
        <f t="shared" si="1"/>
        <v>5.6166249611500003</v>
      </c>
      <c r="T11" s="11">
        <f t="shared" si="2"/>
        <v>-4.6166249611500003</v>
      </c>
    </row>
    <row r="12" spans="1:20" x14ac:dyDescent="0.25">
      <c r="A12" s="3">
        <v>11</v>
      </c>
      <c r="B12" s="3">
        <v>16.9380277482</v>
      </c>
      <c r="C12" s="3">
        <f>MONTH("1/1"+(1-WEEKDAY("1/1"))+(Table2[[#This Row],[WEEK]]-1)*7)</f>
        <v>3</v>
      </c>
      <c r="D12" s="8">
        <f>Table2[[#This Row],[PERCENT POSITIVE]]/100</f>
        <v>0.16938027748199999</v>
      </c>
      <c r="F12" s="14">
        <v>5</v>
      </c>
      <c r="G12" s="13">
        <v>5.6166249611500003</v>
      </c>
      <c r="H12" s="13">
        <v>0.22466499844600002</v>
      </c>
      <c r="M12" s="5"/>
    </row>
    <row r="13" spans="1:20" x14ac:dyDescent="0.25">
      <c r="A13" s="3">
        <v>12</v>
      </c>
      <c r="B13" s="3">
        <v>15.3097620082</v>
      </c>
      <c r="C13" s="3">
        <f>MONTH("1/1"+(1-WEEKDAY("1/1"))+(Table2[[#This Row],[WEEK]]-1)*7)</f>
        <v>3</v>
      </c>
      <c r="D13" s="8">
        <f>Table2[[#This Row],[PERCENT POSITIVE]]/100</f>
        <v>0.15309762008200001</v>
      </c>
      <c r="F13" s="14" t="s">
        <v>11</v>
      </c>
      <c r="G13" s="13">
        <v>10.768663379598829</v>
      </c>
      <c r="H13" s="13">
        <v>4.6305252532274963</v>
      </c>
      <c r="M13" s="5"/>
    </row>
    <row r="14" spans="1:20" x14ac:dyDescent="0.25">
      <c r="A14" s="3">
        <v>13</v>
      </c>
      <c r="B14" s="3">
        <v>13.304026825799999</v>
      </c>
      <c r="C14" s="3">
        <f>MONTH("1/1"+(1-WEEKDAY("1/1"))+(Table2[[#This Row],[WEEK]]-1)*7)</f>
        <v>3</v>
      </c>
      <c r="D14" s="8">
        <f>Table2[[#This Row],[PERCENT POSITIVE]]/100</f>
        <v>0.133040268258</v>
      </c>
      <c r="F14"/>
      <c r="G14"/>
      <c r="H14"/>
    </row>
    <row r="15" spans="1:20" x14ac:dyDescent="0.25">
      <c r="A15" s="3">
        <v>14</v>
      </c>
      <c r="B15" s="3">
        <v>12.6157853447999</v>
      </c>
      <c r="C15" s="3">
        <f>MONTH("1/1"+(1-WEEKDAY("1/1"))+(Table2[[#This Row],[WEEK]]-1)*7)</f>
        <v>3</v>
      </c>
      <c r="D15" s="8">
        <f>Table2[[#This Row],[PERCENT POSITIVE]]/100</f>
        <v>0.12615785344799899</v>
      </c>
      <c r="F15"/>
      <c r="G15"/>
      <c r="H15"/>
    </row>
    <row r="16" spans="1:20" x14ac:dyDescent="0.25">
      <c r="A16" s="3">
        <v>15</v>
      </c>
      <c r="B16" s="3">
        <v>11.082567232399899</v>
      </c>
      <c r="C16" s="3">
        <f>MONTH("1/1"+(1-WEEKDAY("1/1"))+(Table2[[#This Row],[WEEK]]-1)*7)</f>
        <v>4</v>
      </c>
      <c r="D16" s="8">
        <f>Table2[[#This Row],[PERCENT POSITIVE]]/100</f>
        <v>0.11082567232399899</v>
      </c>
      <c r="F16"/>
      <c r="G16"/>
      <c r="H16"/>
    </row>
    <row r="17" spans="1:8" x14ac:dyDescent="0.25">
      <c r="A17" s="3">
        <v>16</v>
      </c>
      <c r="B17" s="3">
        <v>9.7557150830000001</v>
      </c>
      <c r="C17" s="3">
        <f>MONTH("1/1"+(1-WEEKDAY("1/1"))+(Table2[[#This Row],[WEEK]]-1)*7)</f>
        <v>4</v>
      </c>
      <c r="D17" s="8">
        <f>Table2[[#This Row],[PERCENT POSITIVE]]/100</f>
        <v>9.7557150829999995E-2</v>
      </c>
      <c r="F17"/>
      <c r="G17"/>
      <c r="H17"/>
    </row>
    <row r="18" spans="1:8" x14ac:dyDescent="0.25">
      <c r="A18" s="3">
        <v>17</v>
      </c>
      <c r="B18" s="3">
        <v>8.395745196</v>
      </c>
      <c r="C18" s="3">
        <f>MONTH("1/1"+(1-WEEKDAY("1/1"))+(Table2[[#This Row],[WEEK]]-1)*7)</f>
        <v>4</v>
      </c>
      <c r="D18" s="8">
        <f>Table2[[#This Row],[PERCENT POSITIVE]]/100</f>
        <v>8.3957451959999999E-2</v>
      </c>
      <c r="F18"/>
      <c r="G18"/>
      <c r="H18"/>
    </row>
    <row r="19" spans="1:8" x14ac:dyDescent="0.25">
      <c r="A19" s="3">
        <v>18</v>
      </c>
      <c r="B19" s="3">
        <v>7.5956710131999996</v>
      </c>
      <c r="C19" s="3">
        <f>MONTH("1/1"+(1-WEEKDAY("1/1"))+(Table2[[#This Row],[WEEK]]-1)*7)</f>
        <v>4</v>
      </c>
      <c r="D19" s="8">
        <f>Table2[[#This Row],[PERCENT POSITIVE]]/100</f>
        <v>7.5956710131999991E-2</v>
      </c>
      <c r="F19"/>
      <c r="G19"/>
      <c r="H19"/>
    </row>
    <row r="20" spans="1:8" x14ac:dyDescent="0.25">
      <c r="A20" s="3">
        <v>19</v>
      </c>
      <c r="B20" s="3">
        <v>6.655186015</v>
      </c>
      <c r="C20" s="3">
        <f>MONTH("1/1"+(1-WEEKDAY("1/1"))+(Table2[[#This Row],[WEEK]]-1)*7)</f>
        <v>5</v>
      </c>
      <c r="D20" s="8">
        <f>Table2[[#This Row],[PERCENT POSITIVE]]/100</f>
        <v>6.6551860150000003E-2</v>
      </c>
    </row>
    <row r="21" spans="1:8" x14ac:dyDescent="0.25">
      <c r="A21" s="3">
        <v>20</v>
      </c>
      <c r="B21" s="3">
        <v>5.9005777410000002</v>
      </c>
      <c r="C21" s="3">
        <f>MONTH("1/1"+(1-WEEKDAY("1/1"))+(Table2[[#This Row],[WEEK]]-1)*7)</f>
        <v>5</v>
      </c>
      <c r="D21" s="8">
        <f>Table2[[#This Row],[PERCENT POSITIVE]]/100</f>
        <v>5.9005777410000002E-2</v>
      </c>
    </row>
    <row r="22" spans="1:8" x14ac:dyDescent="0.25">
      <c r="A22" s="3">
        <v>21</v>
      </c>
      <c r="B22" s="3">
        <v>4.9432964897999998</v>
      </c>
      <c r="C22" s="3">
        <f>MONTH("1/1"+(1-WEEKDAY("1/1"))+(Table2[[#This Row],[WEEK]]-1)*7)</f>
        <v>5</v>
      </c>
      <c r="D22" s="8">
        <f>Table2[[#This Row],[PERCENT POSITIVE]]/100</f>
        <v>4.9432964897999997E-2</v>
      </c>
    </row>
    <row r="23" spans="1:8" x14ac:dyDescent="0.25">
      <c r="A23" s="3">
        <v>22</v>
      </c>
      <c r="B23" s="3">
        <v>4.9674395988000004</v>
      </c>
      <c r="C23" s="3">
        <f>MONTH("1/1"+(1-WEEKDAY("1/1"))+(Table2[[#This Row],[WEEK]]-1)*7)</f>
        <v>5</v>
      </c>
      <c r="D23" s="8">
        <f>Table2[[#This Row],[PERCENT POSITIVE]]/100</f>
        <v>4.9674395988000004E-2</v>
      </c>
    </row>
    <row r="24" spans="1:8" x14ac:dyDescent="0.25">
      <c r="A24" s="3">
        <v>23</v>
      </c>
      <c r="B24" s="3">
        <v>4.2434630141999996</v>
      </c>
      <c r="C24" s="3">
        <f>MONTH("1/1"+(1-WEEKDAY("1/1"))+(Table2[[#This Row],[WEEK]]-1)*7)</f>
        <v>6</v>
      </c>
      <c r="D24" s="8">
        <f>Table2[[#This Row],[PERCENT POSITIVE]]/100</f>
        <v>4.2434630141999996E-2</v>
      </c>
    </row>
    <row r="25" spans="1:8" x14ac:dyDescent="0.25">
      <c r="A25" s="3">
        <v>24</v>
      </c>
      <c r="B25" s="3">
        <v>4.3833150294000003</v>
      </c>
      <c r="C25" s="3">
        <f>MONTH("1/1"+(1-WEEKDAY("1/1"))+(Table2[[#This Row],[WEEK]]-1)*7)</f>
        <v>6</v>
      </c>
      <c r="D25" s="8">
        <f>Table2[[#This Row],[PERCENT POSITIVE]]/100</f>
        <v>4.3833150294000006E-2</v>
      </c>
    </row>
    <row r="26" spans="1:8" x14ac:dyDescent="0.25">
      <c r="A26" s="3">
        <v>25</v>
      </c>
      <c r="B26" s="3">
        <v>3.46422077459999</v>
      </c>
      <c r="C26" s="3">
        <f>MONTH("1/1"+(1-WEEKDAY("1/1"))+(Table2[[#This Row],[WEEK]]-1)*7)</f>
        <v>6</v>
      </c>
      <c r="D26" s="8">
        <f>Table2[[#This Row],[PERCENT POSITIVE]]/100</f>
        <v>3.4642207745999902E-2</v>
      </c>
    </row>
    <row r="27" spans="1:8" x14ac:dyDescent="0.25">
      <c r="A27" s="3">
        <v>26</v>
      </c>
      <c r="B27" s="3">
        <v>3.1057011102000001</v>
      </c>
      <c r="C27" s="3">
        <f>MONTH("1/1"+(1-WEEKDAY("1/1"))+(Table2[[#This Row],[WEEK]]-1)*7)</f>
        <v>6</v>
      </c>
      <c r="D27" s="8">
        <f>Table2[[#This Row],[PERCENT POSITIVE]]/100</f>
        <v>3.1057011102000001E-2</v>
      </c>
    </row>
    <row r="28" spans="1:8" x14ac:dyDescent="0.25">
      <c r="A28" s="3">
        <v>27</v>
      </c>
      <c r="B28" s="3">
        <v>2.7340113283999998</v>
      </c>
      <c r="C28" s="3">
        <f>MONTH("1/1"+(1-WEEKDAY("1/1"))+(Table2[[#This Row],[WEEK]]-1)*7)</f>
        <v>6</v>
      </c>
      <c r="D28" s="8">
        <f>Table2[[#This Row],[PERCENT POSITIVE]]/100</f>
        <v>2.7340113284E-2</v>
      </c>
    </row>
    <row r="29" spans="1:8" x14ac:dyDescent="0.25">
      <c r="A29" s="3">
        <v>28</v>
      </c>
      <c r="B29" s="3">
        <v>2.9245312966000001</v>
      </c>
      <c r="C29" s="3">
        <f>MONTH("1/1"+(1-WEEKDAY("1/1"))+(Table2[[#This Row],[WEEK]]-1)*7)</f>
        <v>7</v>
      </c>
      <c r="D29" s="8">
        <f>Table2[[#This Row],[PERCENT POSITIVE]]/100</f>
        <v>2.9245312966000001E-2</v>
      </c>
    </row>
    <row r="30" spans="1:8" x14ac:dyDescent="0.25">
      <c r="A30" s="3">
        <v>29</v>
      </c>
      <c r="B30" s="3">
        <v>2.3163606635999998</v>
      </c>
      <c r="C30" s="3">
        <f>MONTH("1/1"+(1-WEEKDAY("1/1"))+(Table2[[#This Row],[WEEK]]-1)*7)</f>
        <v>7</v>
      </c>
      <c r="D30" s="8">
        <f>Table2[[#This Row],[PERCENT POSITIVE]]/100</f>
        <v>2.3163606635999999E-2</v>
      </c>
    </row>
    <row r="31" spans="1:8" x14ac:dyDescent="0.25">
      <c r="A31" s="3">
        <v>30</v>
      </c>
      <c r="B31" s="3">
        <v>2.7002771447999998</v>
      </c>
      <c r="C31" s="3">
        <f>MONTH("1/1"+(1-WEEKDAY("1/1"))+(Table2[[#This Row],[WEEK]]-1)*7)</f>
        <v>7</v>
      </c>
      <c r="D31" s="8">
        <f>Table2[[#This Row],[PERCENT POSITIVE]]/100</f>
        <v>2.7002771447999997E-2</v>
      </c>
    </row>
    <row r="32" spans="1:8" x14ac:dyDescent="0.25">
      <c r="A32" s="3">
        <v>31</v>
      </c>
      <c r="B32" s="3">
        <v>3.69354981379999</v>
      </c>
      <c r="C32" s="3">
        <f>MONTH("1/1"+(1-WEEKDAY("1/1"))+(Table2[[#This Row],[WEEK]]-1)*7)</f>
        <v>7</v>
      </c>
      <c r="D32" s="8">
        <f>Table2[[#This Row],[PERCENT POSITIVE]]/100</f>
        <v>3.69354981379999E-2</v>
      </c>
    </row>
    <row r="33" spans="1:4" x14ac:dyDescent="0.25">
      <c r="A33" s="3">
        <v>32</v>
      </c>
      <c r="B33" s="3">
        <v>3.2531200095999999</v>
      </c>
      <c r="C33" s="3">
        <f>MONTH("1/1"+(1-WEEKDAY("1/1"))+(Table2[[#This Row],[WEEK]]-1)*7)</f>
        <v>8</v>
      </c>
      <c r="D33" s="8">
        <f>Table2[[#This Row],[PERCENT POSITIVE]]/100</f>
        <v>3.2531200095999996E-2</v>
      </c>
    </row>
    <row r="34" spans="1:4" x14ac:dyDescent="0.25">
      <c r="A34" s="3">
        <v>33</v>
      </c>
      <c r="B34" s="3">
        <v>3.0136596431999898</v>
      </c>
      <c r="C34" s="3">
        <f>MONTH("1/1"+(1-WEEKDAY("1/1"))+(Table2[[#This Row],[WEEK]]-1)*7)</f>
        <v>8</v>
      </c>
      <c r="D34" s="8">
        <f>Table2[[#This Row],[PERCENT POSITIVE]]/100</f>
        <v>3.0136596431999899E-2</v>
      </c>
    </row>
    <row r="35" spans="1:4" x14ac:dyDescent="0.25">
      <c r="A35" s="3">
        <v>34</v>
      </c>
      <c r="B35" s="3">
        <v>2.5570851142</v>
      </c>
      <c r="C35" s="3">
        <f>MONTH("1/1"+(1-WEEKDAY("1/1"))+(Table2[[#This Row],[WEEK]]-1)*7)</f>
        <v>8</v>
      </c>
      <c r="D35" s="8">
        <f>Table2[[#This Row],[PERCENT POSITIVE]]/100</f>
        <v>2.5570851142000001E-2</v>
      </c>
    </row>
    <row r="36" spans="1:4" x14ac:dyDescent="0.25">
      <c r="A36" s="3">
        <v>35</v>
      </c>
      <c r="B36" s="3">
        <v>2.5186090254</v>
      </c>
      <c r="C36" s="3">
        <f>MONTH("1/1"+(1-WEEKDAY("1/1"))+(Table2[[#This Row],[WEEK]]-1)*7)</f>
        <v>8</v>
      </c>
      <c r="D36" s="8">
        <f>Table2[[#This Row],[PERCENT POSITIVE]]/100</f>
        <v>2.5186090253999999E-2</v>
      </c>
    </row>
    <row r="37" spans="1:4" x14ac:dyDescent="0.25">
      <c r="A37" s="3">
        <v>36</v>
      </c>
      <c r="B37" s="3">
        <v>2.3114718822000002</v>
      </c>
      <c r="C37" s="3">
        <f>MONTH("1/1"+(1-WEEKDAY("1/1"))+(Table2[[#This Row],[WEEK]]-1)*7)</f>
        <v>8</v>
      </c>
      <c r="D37" s="8">
        <f>Table2[[#This Row],[PERCENT POSITIVE]]/100</f>
        <v>2.3114718822000002E-2</v>
      </c>
    </row>
    <row r="38" spans="1:4" x14ac:dyDescent="0.25">
      <c r="A38" s="3">
        <v>37</v>
      </c>
      <c r="B38" s="3">
        <v>2.0466037243999899</v>
      </c>
      <c r="C38" s="3">
        <f>MONTH("1/1"+(1-WEEKDAY("1/1"))+(Table2[[#This Row],[WEEK]]-1)*7)</f>
        <v>9</v>
      </c>
      <c r="D38" s="8">
        <f>Table2[[#This Row],[PERCENT POSITIVE]]/100</f>
        <v>2.04660372439999E-2</v>
      </c>
    </row>
    <row r="39" spans="1:4" x14ac:dyDescent="0.25">
      <c r="A39" s="3">
        <v>38</v>
      </c>
      <c r="B39" s="3">
        <v>2.1726587058</v>
      </c>
      <c r="C39" s="3">
        <f>MONTH("1/1"+(1-WEEKDAY("1/1"))+(Table2[[#This Row],[WEEK]]-1)*7)</f>
        <v>9</v>
      </c>
      <c r="D39" s="8">
        <f>Table2[[#This Row],[PERCENT POSITIVE]]/100</f>
        <v>2.1726587057999999E-2</v>
      </c>
    </row>
    <row r="40" spans="1:4" x14ac:dyDescent="0.25">
      <c r="A40" s="3">
        <v>39</v>
      </c>
      <c r="B40" s="3">
        <v>2.5512391760000002</v>
      </c>
      <c r="C40" s="3">
        <f>MONTH("1/1"+(1-WEEKDAY("1/1"))+(Table2[[#This Row],[WEEK]]-1)*7)</f>
        <v>9</v>
      </c>
      <c r="D40" s="8">
        <f>Table2[[#This Row],[PERCENT POSITIVE]]/100</f>
        <v>2.5512391760000003E-2</v>
      </c>
    </row>
    <row r="41" spans="1:4" x14ac:dyDescent="0.25">
      <c r="A41" s="3">
        <v>40</v>
      </c>
      <c r="B41" s="3">
        <v>2.7340931722499899</v>
      </c>
      <c r="C41" s="3">
        <f>MONTH("1/1"+(1-WEEKDAY("1/1"))+(Table2[[#This Row],[WEEK]]-1)*7)</f>
        <v>9</v>
      </c>
      <c r="D41" s="8">
        <f>Table2[[#This Row],[PERCENT POSITIVE]]/100</f>
        <v>2.7340931722499899E-2</v>
      </c>
    </row>
    <row r="42" spans="1:4" x14ac:dyDescent="0.25">
      <c r="A42" s="3">
        <v>41</v>
      </c>
      <c r="B42" s="3">
        <v>2.91613619224999</v>
      </c>
      <c r="C42" s="3">
        <f>MONTH("1/1"+(1-WEEKDAY("1/1"))+(Table2[[#This Row],[WEEK]]-1)*7)</f>
        <v>10</v>
      </c>
      <c r="D42" s="8">
        <f>Table2[[#This Row],[PERCENT POSITIVE]]/100</f>
        <v>2.91613619224999E-2</v>
      </c>
    </row>
    <row r="43" spans="1:4" x14ac:dyDescent="0.25">
      <c r="A43" s="3">
        <v>42</v>
      </c>
      <c r="B43" s="3">
        <v>3.301468002</v>
      </c>
      <c r="C43" s="3">
        <f>MONTH("1/1"+(1-WEEKDAY("1/1"))+(Table2[[#This Row],[WEEK]]-1)*7)</f>
        <v>10</v>
      </c>
      <c r="D43" s="8">
        <f>Table2[[#This Row],[PERCENT POSITIVE]]/100</f>
        <v>3.3014680019999999E-2</v>
      </c>
    </row>
    <row r="44" spans="1:4" x14ac:dyDescent="0.25">
      <c r="A44" s="3">
        <v>43</v>
      </c>
      <c r="B44" s="3">
        <v>3.7865610332499999</v>
      </c>
      <c r="C44" s="3">
        <f>MONTH("1/1"+(1-WEEKDAY("1/1"))+(Table2[[#This Row],[WEEK]]-1)*7)</f>
        <v>10</v>
      </c>
      <c r="D44" s="8">
        <f>Table2[[#This Row],[PERCENT POSITIVE]]/100</f>
        <v>3.7865610332500001E-2</v>
      </c>
    </row>
    <row r="45" spans="1:4" x14ac:dyDescent="0.25">
      <c r="A45" s="3">
        <v>44</v>
      </c>
      <c r="B45" s="3">
        <v>4.7111346467499997</v>
      </c>
      <c r="C45" s="3">
        <f>MONTH("1/1"+(1-WEEKDAY("1/1"))+(Table2[[#This Row],[WEEK]]-1)*7)</f>
        <v>10</v>
      </c>
      <c r="D45" s="8">
        <f>Table2[[#This Row],[PERCENT POSITIVE]]/100</f>
        <v>4.7111346467499995E-2</v>
      </c>
    </row>
    <row r="46" spans="1:4" x14ac:dyDescent="0.25">
      <c r="A46" s="3">
        <v>45</v>
      </c>
      <c r="B46" s="3">
        <v>5.8043042680000001</v>
      </c>
      <c r="C46" s="3">
        <f>MONTH("1/1"+(1-WEEKDAY("1/1"))+(Table2[[#This Row],[WEEK]]-1)*7)</f>
        <v>11</v>
      </c>
      <c r="D46" s="8">
        <f>Table2[[#This Row],[PERCENT POSITIVE]]/100</f>
        <v>5.8043042680000004E-2</v>
      </c>
    </row>
    <row r="47" spans="1:4" x14ac:dyDescent="0.25">
      <c r="A47" s="3">
        <v>46</v>
      </c>
      <c r="B47" s="3">
        <v>7.5720452414999997</v>
      </c>
      <c r="C47" s="3">
        <f>MONTH("1/1"+(1-WEEKDAY("1/1"))+(Table2[[#This Row],[WEEK]]-1)*7)</f>
        <v>11</v>
      </c>
      <c r="D47" s="8">
        <f>Table2[[#This Row],[PERCENT POSITIVE]]/100</f>
        <v>7.5720452415E-2</v>
      </c>
    </row>
    <row r="48" spans="1:4" x14ac:dyDescent="0.25">
      <c r="A48" s="3">
        <v>47</v>
      </c>
      <c r="B48" s="3">
        <v>10.001329446</v>
      </c>
      <c r="C48" s="3">
        <f>MONTH("1/1"+(1-WEEKDAY("1/1"))+(Table2[[#This Row],[WEEK]]-1)*7)</f>
        <v>11</v>
      </c>
      <c r="D48" s="8">
        <f>Table2[[#This Row],[PERCENT POSITIVE]]/100</f>
        <v>0.10001329446</v>
      </c>
    </row>
    <row r="49" spans="1:4" x14ac:dyDescent="0.25">
      <c r="A49" s="3">
        <v>48</v>
      </c>
      <c r="B49" s="3">
        <v>11.50521027475</v>
      </c>
      <c r="C49" s="3">
        <f>MONTH("1/1"+(1-WEEKDAY("1/1"))+(Table2[[#This Row],[WEEK]]-1)*7)</f>
        <v>11</v>
      </c>
      <c r="D49" s="8">
        <f>Table2[[#This Row],[PERCENT POSITIVE]]/100</f>
        <v>0.11505210274750001</v>
      </c>
    </row>
    <row r="50" spans="1:4" x14ac:dyDescent="0.25">
      <c r="A50" s="3">
        <v>49</v>
      </c>
      <c r="B50" s="3">
        <v>15.760271030249999</v>
      </c>
      <c r="C50" s="3">
        <f>MONTH("1/1"+(1-WEEKDAY("1/1"))+(Table2[[#This Row],[WEEK]]-1)*7)</f>
        <v>11</v>
      </c>
      <c r="D50" s="8">
        <f>Table2[[#This Row],[PERCENT POSITIVE]]/100</f>
        <v>0.1576027103025</v>
      </c>
    </row>
    <row r="51" spans="1:4" x14ac:dyDescent="0.25">
      <c r="A51" s="3">
        <v>50</v>
      </c>
      <c r="B51" s="3">
        <v>18.749185131000001</v>
      </c>
      <c r="C51" s="3">
        <f>MONTH("1/1"+(1-WEEKDAY("1/1"))+(Table2[[#This Row],[WEEK]]-1)*7)</f>
        <v>12</v>
      </c>
      <c r="D51" s="8">
        <f>Table2[[#This Row],[PERCENT POSITIVE]]/100</f>
        <v>0.18749185131000001</v>
      </c>
    </row>
    <row r="52" spans="1:4" x14ac:dyDescent="0.25">
      <c r="A52" s="3">
        <v>51</v>
      </c>
      <c r="B52" s="3">
        <v>23.662133379249902</v>
      </c>
      <c r="C52" s="3">
        <f>MONTH("1/1"+(1-WEEKDAY("1/1"))+(Table2[[#This Row],[WEEK]]-1)*7)</f>
        <v>12</v>
      </c>
      <c r="D52" s="8">
        <f>Table2[[#This Row],[PERCENT POSITIVE]]/100</f>
        <v>0.23662133379249903</v>
      </c>
    </row>
    <row r="53" spans="1:4" x14ac:dyDescent="0.25">
      <c r="A53" s="3">
        <v>52</v>
      </c>
      <c r="B53" s="3">
        <v>24.657431829499998</v>
      </c>
      <c r="C53" s="3">
        <f>MONTH("1/1"+(1-WEEKDAY("1/1"))+(Table2[[#This Row],[WEEK]]-1)*7)</f>
        <v>12</v>
      </c>
      <c r="D53" s="8">
        <f>Table2[[#This Row],[PERCENT POSITIVE]]/100</f>
        <v>0.24657431829499998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>
      <selection activeCell="T2" sqref="T2"/>
    </sheetView>
  </sheetViews>
  <sheetFormatPr defaultRowHeight="15" x14ac:dyDescent="0.25"/>
  <cols>
    <col min="1" max="1" width="9.140625" style="3"/>
    <col min="2" max="2" width="15.5703125" style="3" customWidth="1"/>
    <col min="3" max="4" width="9.140625" style="3"/>
    <col min="5" max="5" width="13.140625" style="3" bestFit="1" customWidth="1"/>
    <col min="6" max="6" width="23.85546875" style="3" bestFit="1" customWidth="1"/>
    <col min="7" max="7" width="14.85546875" style="3" bestFit="1" customWidth="1"/>
    <col min="8" max="16384" width="9.140625" style="3"/>
  </cols>
  <sheetData>
    <row r="1" spans="1:20" x14ac:dyDescent="0.25">
      <c r="A1" s="3" t="s">
        <v>16</v>
      </c>
      <c r="B1" s="3" t="s">
        <v>15</v>
      </c>
      <c r="E1" s="4" t="s">
        <v>17</v>
      </c>
      <c r="F1" s="3" t="s">
        <v>22</v>
      </c>
      <c r="G1" s="3" t="s">
        <v>23</v>
      </c>
      <c r="L1" s="3">
        <v>0</v>
      </c>
      <c r="M1" s="3">
        <v>0</v>
      </c>
      <c r="Q1" s="3">
        <v>0</v>
      </c>
      <c r="R1" s="3">
        <v>0</v>
      </c>
      <c r="S1" s="1">
        <v>0</v>
      </c>
      <c r="T1" s="1">
        <v>1</v>
      </c>
    </row>
    <row r="2" spans="1:20" x14ac:dyDescent="0.25">
      <c r="A2" s="3">
        <v>1</v>
      </c>
      <c r="B2" s="3">
        <v>51.174999999999997</v>
      </c>
      <c r="E2" s="6">
        <v>8</v>
      </c>
      <c r="F2" s="5">
        <v>5.0750000000000002</v>
      </c>
      <c r="G2" s="5">
        <v>5.0750000000000003E-2</v>
      </c>
      <c r="K2" s="3" t="s">
        <v>0</v>
      </c>
      <c r="L2" s="3">
        <v>1</v>
      </c>
      <c r="M2" s="5">
        <v>5.0750000000000003E-2</v>
      </c>
      <c r="P2" s="3" t="s">
        <v>0</v>
      </c>
      <c r="Q2" s="3">
        <v>1</v>
      </c>
      <c r="R2" s="3">
        <f t="shared" ref="R2:R11" si="0">(M2-M1)/(1-M1)</f>
        <v>5.0750000000000003E-2</v>
      </c>
      <c r="S2" s="1">
        <f>R2*T1+S1</f>
        <v>5.0750000000000003E-2</v>
      </c>
      <c r="T2" s="1">
        <f>$T$1-S2</f>
        <v>0.94925000000000004</v>
      </c>
    </row>
    <row r="3" spans="1:20" x14ac:dyDescent="0.25">
      <c r="A3" s="3">
        <v>2</v>
      </c>
      <c r="B3" s="3">
        <v>52.7</v>
      </c>
      <c r="E3" s="6">
        <v>9</v>
      </c>
      <c r="F3" s="5">
        <v>14.35</v>
      </c>
      <c r="G3" s="5">
        <v>0.14349999999999999</v>
      </c>
      <c r="K3" s="3" t="s">
        <v>1</v>
      </c>
      <c r="L3" s="3">
        <v>2</v>
      </c>
      <c r="M3" s="5">
        <v>0.14349999999999999</v>
      </c>
      <c r="P3" s="3" t="s">
        <v>1</v>
      </c>
      <c r="Q3" s="3">
        <v>2</v>
      </c>
      <c r="R3" s="3">
        <f t="shared" si="0"/>
        <v>9.7708717408480361E-2</v>
      </c>
      <c r="S3" s="1">
        <f>R3*T2+S2</f>
        <v>0.14349999999999999</v>
      </c>
      <c r="T3" s="11">
        <f t="shared" ref="T3:T11" si="1">$T$1-S3</f>
        <v>0.85650000000000004</v>
      </c>
    </row>
    <row r="4" spans="1:20" x14ac:dyDescent="0.25">
      <c r="A4" s="3">
        <v>3</v>
      </c>
      <c r="B4" s="3">
        <v>53.7</v>
      </c>
      <c r="E4" s="6">
        <v>10</v>
      </c>
      <c r="F4" s="5">
        <v>32.25</v>
      </c>
      <c r="G4" s="5">
        <v>0.32250000000000001</v>
      </c>
      <c r="K4" s="3" t="s">
        <v>2</v>
      </c>
      <c r="L4" s="3">
        <v>3</v>
      </c>
      <c r="M4" s="5">
        <v>0.32250000000000001</v>
      </c>
      <c r="P4" s="3" t="s">
        <v>2</v>
      </c>
      <c r="Q4" s="3">
        <v>3</v>
      </c>
      <c r="R4" s="3">
        <f t="shared" si="0"/>
        <v>0.20899007589025104</v>
      </c>
      <c r="S4" s="1">
        <f t="shared" ref="S4:S11" si="2">R4*T3+S3</f>
        <v>0.32250000000000001</v>
      </c>
      <c r="T4" s="11">
        <f t="shared" si="1"/>
        <v>0.67749999999999999</v>
      </c>
    </row>
    <row r="5" spans="1:20" x14ac:dyDescent="0.25">
      <c r="A5" s="3">
        <v>4</v>
      </c>
      <c r="B5" s="3">
        <v>54.225000000000001</v>
      </c>
      <c r="E5" s="6">
        <v>11</v>
      </c>
      <c r="F5" s="5">
        <v>43.474999999999902</v>
      </c>
      <c r="G5" s="5">
        <v>0.43474999999999903</v>
      </c>
      <c r="K5" s="3" t="s">
        <v>3</v>
      </c>
      <c r="L5" s="3">
        <v>4</v>
      </c>
      <c r="M5" s="5">
        <v>0.43474999999999903</v>
      </c>
      <c r="P5" s="3" t="s">
        <v>3</v>
      </c>
      <c r="Q5" s="3">
        <v>4</v>
      </c>
      <c r="R5" s="3">
        <f t="shared" si="0"/>
        <v>0.16568265682656683</v>
      </c>
      <c r="S5" s="1">
        <f t="shared" si="2"/>
        <v>0.43474999999999903</v>
      </c>
      <c r="T5" s="11">
        <f t="shared" si="1"/>
        <v>0.56525000000000092</v>
      </c>
    </row>
    <row r="6" spans="1:20" x14ac:dyDescent="0.25">
      <c r="A6" s="3">
        <v>5</v>
      </c>
      <c r="B6" s="3">
        <v>54.5</v>
      </c>
      <c r="E6" s="6">
        <v>12</v>
      </c>
      <c r="F6" s="5">
        <v>47.949999999999903</v>
      </c>
      <c r="G6" s="5">
        <v>0.47949999999999904</v>
      </c>
      <c r="K6" s="3" t="s">
        <v>4</v>
      </c>
      <c r="L6" s="3">
        <v>5</v>
      </c>
      <c r="M6" s="5">
        <v>0.47949999999999904</v>
      </c>
      <c r="P6" s="3" t="s">
        <v>4</v>
      </c>
      <c r="Q6" s="3">
        <v>5</v>
      </c>
      <c r="R6" s="3">
        <f t="shared" si="0"/>
        <v>7.9168509509066676E-2</v>
      </c>
      <c r="S6" s="1">
        <f t="shared" si="2"/>
        <v>0.47949999999999904</v>
      </c>
      <c r="T6" s="11">
        <f t="shared" si="1"/>
        <v>0.52050000000000096</v>
      </c>
    </row>
    <row r="7" spans="1:20" x14ac:dyDescent="0.25">
      <c r="A7" s="3">
        <v>7</v>
      </c>
      <c r="B7" s="3">
        <v>1.55</v>
      </c>
      <c r="E7" s="6">
        <v>1</v>
      </c>
      <c r="F7" s="5">
        <v>51.174999999999997</v>
      </c>
      <c r="G7" s="5">
        <v>0.51174999999999993</v>
      </c>
      <c r="K7" s="3" t="s">
        <v>5</v>
      </c>
      <c r="L7" s="3">
        <v>6</v>
      </c>
      <c r="M7" s="5">
        <v>0.51174999999999993</v>
      </c>
      <c r="P7" s="3" t="s">
        <v>5</v>
      </c>
      <c r="Q7" s="3">
        <v>6</v>
      </c>
      <c r="R7" s="3">
        <f t="shared" si="0"/>
        <v>6.1959654178675945E-2</v>
      </c>
      <c r="S7" s="1">
        <f t="shared" si="2"/>
        <v>0.51174999999999993</v>
      </c>
      <c r="T7" s="11">
        <f t="shared" si="1"/>
        <v>0.48825000000000007</v>
      </c>
    </row>
    <row r="8" spans="1:20" x14ac:dyDescent="0.25">
      <c r="A8" s="3">
        <v>8</v>
      </c>
      <c r="B8" s="3">
        <v>5.0750000000000002</v>
      </c>
      <c r="E8" s="6">
        <v>2</v>
      </c>
      <c r="F8" s="5">
        <v>52.7</v>
      </c>
      <c r="G8" s="5">
        <v>0.52700000000000002</v>
      </c>
      <c r="K8" s="3" t="s">
        <v>6</v>
      </c>
      <c r="L8" s="3">
        <v>7</v>
      </c>
      <c r="M8" s="5">
        <v>0.52700000000000002</v>
      </c>
      <c r="P8" s="3" t="s">
        <v>6</v>
      </c>
      <c r="Q8" s="3">
        <v>7</v>
      </c>
      <c r="R8" s="3">
        <f t="shared" si="0"/>
        <v>3.1233998975934655E-2</v>
      </c>
      <c r="S8" s="1">
        <f t="shared" si="2"/>
        <v>0.52700000000000002</v>
      </c>
      <c r="T8" s="11">
        <f t="shared" si="1"/>
        <v>0.47299999999999998</v>
      </c>
    </row>
    <row r="9" spans="1:20" x14ac:dyDescent="0.25">
      <c r="A9" s="3">
        <v>9</v>
      </c>
      <c r="B9" s="3">
        <v>14.35</v>
      </c>
      <c r="E9" s="6">
        <v>3</v>
      </c>
      <c r="F9" s="5">
        <v>53.7</v>
      </c>
      <c r="G9" s="5">
        <v>0.53700000000000003</v>
      </c>
      <c r="K9" s="3" t="s">
        <v>7</v>
      </c>
      <c r="L9" s="3">
        <v>8</v>
      </c>
      <c r="M9" s="5">
        <v>0.53700000000000003</v>
      </c>
      <c r="P9" s="3" t="s">
        <v>7</v>
      </c>
      <c r="Q9" s="3">
        <v>8</v>
      </c>
      <c r="R9" s="3">
        <f t="shared" si="0"/>
        <v>2.1141649048625814E-2</v>
      </c>
      <c r="S9" s="1">
        <f t="shared" si="2"/>
        <v>0.53700000000000003</v>
      </c>
      <c r="T9" s="11">
        <f t="shared" si="1"/>
        <v>0.46299999999999997</v>
      </c>
    </row>
    <row r="10" spans="1:20" x14ac:dyDescent="0.25">
      <c r="A10" s="3">
        <v>10</v>
      </c>
      <c r="B10" s="3">
        <v>32.25</v>
      </c>
      <c r="E10" s="6">
        <v>4</v>
      </c>
      <c r="F10" s="5">
        <v>54.225000000000001</v>
      </c>
      <c r="G10" s="5">
        <v>0.54225000000000001</v>
      </c>
      <c r="K10" s="3" t="s">
        <v>8</v>
      </c>
      <c r="L10" s="3">
        <v>9</v>
      </c>
      <c r="M10" s="5">
        <v>0.54225000000000001</v>
      </c>
      <c r="P10" s="3" t="s">
        <v>8</v>
      </c>
      <c r="Q10" s="3">
        <v>9</v>
      </c>
      <c r="R10" s="3">
        <f t="shared" si="0"/>
        <v>1.1339092872570145E-2</v>
      </c>
      <c r="S10" s="1">
        <f t="shared" si="2"/>
        <v>0.54225000000000001</v>
      </c>
      <c r="T10" s="11">
        <f t="shared" si="1"/>
        <v>0.45774999999999999</v>
      </c>
    </row>
    <row r="11" spans="1:20" x14ac:dyDescent="0.25">
      <c r="A11" s="3">
        <v>11</v>
      </c>
      <c r="B11" s="3">
        <v>43.474999999999902</v>
      </c>
      <c r="E11" s="6">
        <v>5</v>
      </c>
      <c r="F11" s="5">
        <v>54.5</v>
      </c>
      <c r="G11" s="5">
        <v>0.54500000000000004</v>
      </c>
      <c r="K11" s="3" t="s">
        <v>9</v>
      </c>
      <c r="L11" s="3">
        <v>10</v>
      </c>
      <c r="M11" s="5">
        <v>0.54500000000000004</v>
      </c>
      <c r="P11" s="3" t="s">
        <v>9</v>
      </c>
      <c r="Q11" s="3">
        <v>10</v>
      </c>
      <c r="R11" s="3">
        <f t="shared" si="0"/>
        <v>6.0076460950301046E-3</v>
      </c>
      <c r="S11" s="1">
        <f t="shared" si="2"/>
        <v>0.54500000000000004</v>
      </c>
      <c r="T11" s="11">
        <f t="shared" si="1"/>
        <v>0.45499999999999996</v>
      </c>
    </row>
    <row r="12" spans="1:20" x14ac:dyDescent="0.25">
      <c r="A12" s="3">
        <v>12</v>
      </c>
      <c r="B12" s="3">
        <v>47.949999999999903</v>
      </c>
      <c r="E12" s="6" t="s">
        <v>11</v>
      </c>
      <c r="F12" s="5">
        <v>40.939999999999984</v>
      </c>
      <c r="G12" s="5">
        <v>4.0939999999999976</v>
      </c>
      <c r="M12" s="5"/>
    </row>
    <row r="13" spans="1:20" x14ac:dyDescent="0.25">
      <c r="E13"/>
      <c r="F13"/>
      <c r="G13"/>
    </row>
    <row r="14" spans="1:20" x14ac:dyDescent="0.25">
      <c r="E14"/>
      <c r="F14"/>
      <c r="G14"/>
    </row>
    <row r="15" spans="1:20" x14ac:dyDescent="0.25">
      <c r="E15"/>
      <c r="F15"/>
      <c r="G15"/>
    </row>
    <row r="16" spans="1:20" x14ac:dyDescent="0.25">
      <c r="E16"/>
      <c r="F16"/>
      <c r="G16"/>
    </row>
    <row r="17" spans="5:7" x14ac:dyDescent="0.25">
      <c r="E17"/>
      <c r="F17"/>
      <c r="G17"/>
    </row>
    <row r="18" spans="5:7" x14ac:dyDescent="0.25">
      <c r="E18"/>
      <c r="F18"/>
      <c r="G18"/>
    </row>
  </sheetData>
  <pageMargins left="0.7" right="0.7" top="0.75" bottom="0.75" header="0.3" footer="0.3"/>
  <pageSetup orientation="portrait" horizontalDpi="1200" verticalDpi="1200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</vt:lpstr>
      <vt:lpstr>casesbyweek</vt:lpstr>
      <vt:lpstr>positives_byweek</vt:lpstr>
      <vt:lpstr>kid_avg_vax_rates_2010-2014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Kenneth</dc:creator>
  <cp:lastModifiedBy>Jonathan Raviotta</cp:lastModifiedBy>
  <dcterms:created xsi:type="dcterms:W3CDTF">2014-10-01T16:05:07Z</dcterms:created>
  <dcterms:modified xsi:type="dcterms:W3CDTF">2014-10-15T14:14:02Z</dcterms:modified>
</cp:coreProperties>
</file>