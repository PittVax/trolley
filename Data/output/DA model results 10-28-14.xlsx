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420" windowWidth="36120" windowHeight="10920"/>
  </bookViews>
  <sheets>
    <sheet name="Base case results" sheetId="1" r:id="rId1"/>
    <sheet name="2-way sensitivity analysis" sheetId="2" r:id="rId2"/>
  </sheets>
  <calcPr calcId="145621"/>
</workbook>
</file>

<file path=xl/calcChain.xml><?xml version="1.0" encoding="utf-8"?>
<calcChain xmlns="http://schemas.openxmlformats.org/spreadsheetml/2006/main">
  <c r="F16" i="1" l="1"/>
  <c r="F23" i="1"/>
</calcChain>
</file>

<file path=xl/sharedStrings.xml><?xml version="1.0" encoding="utf-8"?>
<sst xmlns="http://schemas.openxmlformats.org/spreadsheetml/2006/main" count="27" uniqueCount="20">
  <si>
    <t>TIV</t>
  </si>
  <si>
    <t>LAIV</t>
  </si>
  <si>
    <t>Strategy</t>
  </si>
  <si>
    <t>Incremental Value</t>
  </si>
  <si>
    <t>Influenza deaths</t>
  </si>
  <si>
    <t>RRR</t>
  </si>
  <si>
    <t>pDeath</t>
  </si>
  <si>
    <t>Influenza cases</t>
  </si>
  <si>
    <t>pFlu</t>
  </si>
  <si>
    <t>Absolute risk reduction</t>
  </si>
  <si>
    <t>DA Model results - 10/28/14</t>
  </si>
  <si>
    <t>100% vaccine update, base case parameters</t>
  </si>
  <si>
    <t>Cost</t>
  </si>
  <si>
    <t>Incr Cost</t>
  </si>
  <si>
    <t>Eff</t>
  </si>
  <si>
    <t>Incr Eff</t>
  </si>
  <si>
    <t>ICER</t>
  </si>
  <si>
    <t>(QALY)</t>
  </si>
  <si>
    <t>Dominated</t>
  </si>
  <si>
    <t>Cost-effectiveness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</si>
</sst>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72" formatCode="&quot;$&quot;#,##0.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22" fontId="0" fillId="0" borderId="0" xfId="0" applyNumberFormat="1"/>
    <xf numFmtId="164" fontId="0" fillId="0" borderId="0" xfId="0" applyNumberFormat="1"/>
    <xf numFmtId="11" fontId="0" fillId="0" borderId="0" xfId="0" applyNumberFormat="1"/>
    <xf numFmtId="172" fontId="0" fillId="0" borderId="0" xfId="0" applyNumberFormat="1"/>
    <xf numFmtId="0" fontId="3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8</xdr:col>
      <xdr:colOff>257175</xdr:colOff>
      <xdr:row>20</xdr:row>
      <xdr:rowOff>166688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190500"/>
          <a:ext cx="5048250" cy="3786188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352426</xdr:colOff>
      <xdr:row>1</xdr:row>
      <xdr:rowOff>9525</xdr:rowOff>
    </xdr:from>
    <xdr:to>
      <xdr:col>16</xdr:col>
      <xdr:colOff>504826</xdr:colOff>
      <xdr:row>20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29226" y="200025"/>
          <a:ext cx="5029200" cy="3771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J23" sqref="J23"/>
    </sheetView>
  </sheetViews>
  <sheetFormatPr defaultRowHeight="15"/>
  <sheetData>
    <row r="1" spans="1:6">
      <c r="A1" s="3" t="s">
        <v>10</v>
      </c>
    </row>
    <row r="2" spans="1:6">
      <c r="A2" s="3" t="s">
        <v>11</v>
      </c>
    </row>
    <row r="5" spans="1:6">
      <c r="A5" s="3" t="s">
        <v>19</v>
      </c>
    </row>
    <row r="6" spans="1:6">
      <c r="D6" s="3" t="s">
        <v>14</v>
      </c>
      <c r="E6" s="3" t="s">
        <v>15</v>
      </c>
    </row>
    <row r="7" spans="1:6" s="3" customFormat="1">
      <c r="A7" s="3" t="s">
        <v>2</v>
      </c>
      <c r="B7" s="3" t="s">
        <v>12</v>
      </c>
      <c r="C7" s="3" t="s">
        <v>13</v>
      </c>
      <c r="D7" s="8" t="s">
        <v>17</v>
      </c>
      <c r="E7" s="8"/>
      <c r="F7" s="3" t="s">
        <v>16</v>
      </c>
    </row>
    <row r="9" spans="1:6">
      <c r="A9" t="s">
        <v>1</v>
      </c>
      <c r="B9" s="7">
        <v>124.262664704443</v>
      </c>
      <c r="C9" s="7"/>
      <c r="D9" s="6">
        <v>-5.5018100240173599E-4</v>
      </c>
    </row>
    <row r="10" spans="1:6">
      <c r="A10" t="s">
        <v>0</v>
      </c>
      <c r="B10" s="7">
        <v>140.705096698202</v>
      </c>
      <c r="C10" s="7">
        <v>16.4424319937593</v>
      </c>
      <c r="D10" s="6">
        <v>-7.1296418879167301E-4</v>
      </c>
      <c r="E10" s="6">
        <v>-1.6278318638993699E-4</v>
      </c>
      <c r="F10" t="s">
        <v>18</v>
      </c>
    </row>
    <row r="11" spans="1:6">
      <c r="B11" s="7"/>
      <c r="C11" s="7"/>
      <c r="D11" s="6"/>
      <c r="E11" s="6"/>
    </row>
    <row r="13" spans="1:6">
      <c r="A13" s="3" t="s">
        <v>7</v>
      </c>
    </row>
    <row r="15" spans="1:6" s="3" customFormat="1">
      <c r="A15" s="3" t="s">
        <v>2</v>
      </c>
      <c r="B15" s="3" t="s">
        <v>8</v>
      </c>
      <c r="C15" s="3" t="s">
        <v>9</v>
      </c>
      <c r="F15" s="2" t="s">
        <v>5</v>
      </c>
    </row>
    <row r="16" spans="1:6">
      <c r="A16" t="s">
        <v>0</v>
      </c>
      <c r="B16" s="5">
        <v>0.14079375503463201</v>
      </c>
      <c r="C16" s="5"/>
      <c r="F16">
        <f>C17/B16</f>
        <v>0.2477782841052257</v>
      </c>
    </row>
    <row r="17" spans="1:6">
      <c r="A17" t="s">
        <v>1</v>
      </c>
      <c r="B17" s="5">
        <v>0.10590811999942</v>
      </c>
      <c r="C17" s="5">
        <v>3.4885635035212602E-2</v>
      </c>
    </row>
    <row r="20" spans="1:6">
      <c r="A20" s="3" t="s">
        <v>4</v>
      </c>
    </row>
    <row r="22" spans="1:6">
      <c r="A22" s="1" t="s">
        <v>2</v>
      </c>
      <c r="B22" s="2" t="s">
        <v>6</v>
      </c>
      <c r="C22" s="1" t="s">
        <v>3</v>
      </c>
      <c r="F22" s="2" t="s">
        <v>5</v>
      </c>
    </row>
    <row r="23" spans="1:6">
      <c r="A23" t="s">
        <v>0</v>
      </c>
      <c r="B23">
        <v>2.3806166689335756E-6</v>
      </c>
      <c r="C23">
        <v>0</v>
      </c>
      <c r="F23">
        <f>C24/B23</f>
        <v>0.24702516621635215</v>
      </c>
    </row>
    <row r="24" spans="1:6">
      <c r="A24" t="s">
        <v>1</v>
      </c>
      <c r="B24">
        <v>1.7925444405928405E-6</v>
      </c>
      <c r="C24">
        <v>5.8807222834073508E-7</v>
      </c>
    </row>
    <row r="28" spans="1:6">
      <c r="A2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1" sqref="K31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case results</vt:lpstr>
      <vt:lpstr>2-way sensitivity 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Smith, Kenneth</cp:lastModifiedBy>
  <dcterms:created xsi:type="dcterms:W3CDTF">2014-10-28T14:40:32Z</dcterms:created>
  <dcterms:modified xsi:type="dcterms:W3CDTF">2014-10-28T19:44:42Z</dcterms:modified>
</cp:coreProperties>
</file>